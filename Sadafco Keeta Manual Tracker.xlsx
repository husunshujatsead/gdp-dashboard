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sead98-my.sharepoint.com/personal/husn_shujaat_sead_ae/Documents/Sadafco Keeta Manual Data Tracker/"/>
    </mc:Choice>
  </mc:AlternateContent>
  <xr:revisionPtr revIDLastSave="0" documentId="8_{DB98D1E1-05C8-4105-A959-E96021CA3861}" xr6:coauthVersionLast="47" xr6:coauthVersionMax="47" xr10:uidLastSave="{00000000-0000-0000-0000-000000000000}"/>
  <bookViews>
    <workbookView xWindow="-110" yWindow="-110" windowWidth="19420" windowHeight="11500" firstSheet="1" activeTab="1" xr2:uid="{55932B50-5B5B-874D-9475-0A2D2FBD545A}"/>
  </bookViews>
  <sheets>
    <sheet name="Locations Key" sheetId="11" r:id="rId1"/>
    <sheet name="RiyadhYasmin" sheetId="1" r:id="rId2"/>
    <sheet name="RiyadhGhirnatah" sheetId="2" r:id="rId3"/>
    <sheet name="RiyadhMalqa" sheetId="3" r:id="rId4"/>
    <sheet name="RiyadhRimal" sheetId="4" r:id="rId5"/>
    <sheet name="DammamMazruiyah" sheetId="5" r:id="rId6"/>
    <sheet name="DammamShulah" sheetId="6" r:id="rId7"/>
    <sheet name="JeddahRahmanyah" sheetId="7" r:id="rId8"/>
    <sheet name="JeddahBryman" sheetId="8" r:id="rId9"/>
    <sheet name="MedinaAridh" sheetId="9" r:id="rId10"/>
    <sheet name="MedinaSultanah" sheetId="10" r:id="rId11"/>
  </sheets>
  <definedNames>
    <definedName name="_xlnm._FilterDatabase" localSheetId="6" hidden="1">DammamShulah!$A$1:$E$12</definedName>
    <definedName name="_xlnm._FilterDatabase" localSheetId="7" hidden="1">JeddahRahmanyah!$A$1:$E$16</definedName>
    <definedName name="_xlnm._FilterDatabase" localSheetId="8" hidden="1">JeddahBryman!$A$1:$E$12</definedName>
    <definedName name="_xlnm._FilterDatabase" localSheetId="9" hidden="1">MedinaAridh!$A$1:$E$12</definedName>
    <definedName name="_xlnm._FilterDatabase" localSheetId="10" hidden="1">MedinaSultanah!$A$17:$E$34</definedName>
    <definedName name="_xlnm._FilterDatabase" localSheetId="1" hidden="1">RiyadhYasmin!$A$18:$E$34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4" i="10" l="1"/>
  <c r="D33" i="10"/>
  <c r="D32" i="10"/>
  <c r="D31" i="10"/>
  <c r="D30" i="10"/>
  <c r="D29" i="10"/>
  <c r="D28" i="10"/>
  <c r="D27" i="10"/>
  <c r="D24" i="10"/>
  <c r="D21" i="10"/>
  <c r="D18" i="10"/>
  <c r="D34" i="9"/>
  <c r="D33" i="9"/>
  <c r="D32" i="9"/>
  <c r="D31" i="9"/>
  <c r="D30" i="9"/>
  <c r="D29" i="9"/>
  <c r="D28" i="9"/>
  <c r="D27" i="9"/>
  <c r="D24" i="9"/>
  <c r="D21" i="9"/>
  <c r="D18" i="9"/>
  <c r="D34" i="8"/>
  <c r="D33" i="8"/>
  <c r="D32" i="8"/>
  <c r="D31" i="8"/>
  <c r="D30" i="8"/>
  <c r="D29" i="8"/>
  <c r="D28" i="8"/>
  <c r="D27" i="8"/>
  <c r="D24" i="8"/>
  <c r="D21" i="8"/>
  <c r="D18" i="8"/>
  <c r="D34" i="7"/>
  <c r="D33" i="7"/>
  <c r="D32" i="7"/>
  <c r="D31" i="7"/>
  <c r="D30" i="7"/>
  <c r="D29" i="7"/>
  <c r="D28" i="7"/>
  <c r="D27" i="7"/>
  <c r="D24" i="7"/>
  <c r="D21" i="7"/>
  <c r="D18" i="7"/>
  <c r="D34" i="6"/>
  <c r="D33" i="6"/>
  <c r="D32" i="6"/>
  <c r="D31" i="6"/>
  <c r="D30" i="6"/>
  <c r="D29" i="6"/>
  <c r="D28" i="6"/>
  <c r="D27" i="6"/>
  <c r="D24" i="6"/>
  <c r="D21" i="6"/>
  <c r="D18" i="6"/>
  <c r="D34" i="5"/>
  <c r="D33" i="5"/>
  <c r="D32" i="5"/>
  <c r="D31" i="5"/>
  <c r="D30" i="5"/>
  <c r="D29" i="5"/>
  <c r="D28" i="5"/>
  <c r="D27" i="5"/>
  <c r="D24" i="5"/>
  <c r="D21" i="5"/>
  <c r="D18" i="5"/>
  <c r="D34" i="4"/>
  <c r="D33" i="4"/>
  <c r="D32" i="4"/>
  <c r="D31" i="4"/>
  <c r="D30" i="4"/>
  <c r="D29" i="4"/>
  <c r="D28" i="4"/>
  <c r="D27" i="4"/>
  <c r="D24" i="4"/>
  <c r="D21" i="4"/>
  <c r="D18" i="4"/>
  <c r="D34" i="3"/>
  <c r="D33" i="3"/>
  <c r="D32" i="3"/>
  <c r="D31" i="3"/>
  <c r="D30" i="3"/>
  <c r="D29" i="3"/>
  <c r="D28" i="3"/>
  <c r="D27" i="3"/>
  <c r="D24" i="3"/>
  <c r="D21" i="3"/>
  <c r="D18" i="3"/>
  <c r="D34" i="2"/>
  <c r="D33" i="2"/>
  <c r="D32" i="2"/>
  <c r="D31" i="2"/>
  <c r="D30" i="2"/>
  <c r="D29" i="2"/>
  <c r="D28" i="2"/>
  <c r="D27" i="2"/>
  <c r="D24" i="2"/>
  <c r="D21" i="2"/>
  <c r="D18" i="2"/>
  <c r="D18" i="1"/>
  <c r="D21" i="1"/>
  <c r="D24" i="1"/>
  <c r="D27" i="1"/>
  <c r="D28" i="1"/>
  <c r="D29" i="1"/>
  <c r="D31" i="1"/>
  <c r="D32" i="1"/>
  <c r="D33" i="1"/>
  <c r="D34" i="1"/>
  <c r="D9" i="10"/>
  <c r="D15" i="9"/>
  <c r="D14" i="9"/>
  <c r="D12" i="9"/>
  <c r="D11" i="9"/>
  <c r="D10" i="9"/>
  <c r="D9" i="9"/>
  <c r="D5" i="9"/>
  <c r="D4" i="9"/>
  <c r="D3" i="9"/>
  <c r="D15" i="8"/>
  <c r="D14" i="8"/>
  <c r="D12" i="8"/>
  <c r="D11" i="8"/>
  <c r="D10" i="8"/>
  <c r="D9" i="8"/>
  <c r="D5" i="8"/>
  <c r="D4" i="8"/>
  <c r="D3" i="8"/>
  <c r="D16" i="7"/>
  <c r="D15" i="7"/>
  <c r="D14" i="7"/>
  <c r="D12" i="7"/>
  <c r="D11" i="7"/>
  <c r="D10" i="7"/>
  <c r="D9" i="7"/>
  <c r="D5" i="7"/>
  <c r="D4" i="7"/>
  <c r="D3" i="7"/>
  <c r="D14" i="2"/>
  <c r="D3" i="6"/>
  <c r="D4" i="6"/>
  <c r="D5" i="6"/>
  <c r="D9" i="6"/>
  <c r="D10" i="6"/>
  <c r="D11" i="6"/>
  <c r="D12" i="6"/>
  <c r="D14" i="6"/>
  <c r="D15" i="6"/>
  <c r="D16" i="6"/>
  <c r="D3" i="5"/>
  <c r="D4" i="5"/>
  <c r="D5" i="5"/>
  <c r="D9" i="5"/>
  <c r="D10" i="5"/>
  <c r="D11" i="5"/>
  <c r="D12" i="5"/>
  <c r="D14" i="5"/>
  <c r="D15" i="5"/>
  <c r="D16" i="5"/>
  <c r="D3" i="4"/>
  <c r="D4" i="4"/>
  <c r="D5" i="4"/>
  <c r="D9" i="4"/>
  <c r="D10" i="4"/>
  <c r="D11" i="4"/>
  <c r="D12" i="4"/>
  <c r="D14" i="4"/>
  <c r="D15" i="4"/>
  <c r="D16" i="4"/>
  <c r="D3" i="3"/>
  <c r="D4" i="3"/>
  <c r="D5" i="3"/>
  <c r="D9" i="3"/>
  <c r="D10" i="3"/>
  <c r="D11" i="3"/>
  <c r="D12" i="3"/>
  <c r="D14" i="3"/>
  <c r="D15" i="3"/>
  <c r="D16" i="3"/>
  <c r="D3" i="2"/>
  <c r="D4" i="2"/>
  <c r="D5" i="2"/>
  <c r="D9" i="2"/>
  <c r="D10" i="2"/>
  <c r="D11" i="2"/>
  <c r="D12" i="2"/>
  <c r="D15" i="2"/>
  <c r="D16" i="2"/>
  <c r="D3" i="1"/>
  <c r="D4" i="1"/>
  <c r="D5" i="1"/>
  <c r="D9" i="1"/>
  <c r="D10" i="1"/>
  <c r="D11" i="1"/>
  <c r="D12" i="1"/>
  <c r="D14" i="1"/>
  <c r="D15" i="1"/>
  <c r="D16" i="1"/>
  <c r="D30" i="1"/>
  <c r="D3" i="10"/>
  <c r="D4" i="10"/>
  <c r="D5" i="10"/>
  <c r="D10" i="10"/>
  <c r="D11" i="10"/>
  <c r="D12" i="10"/>
  <c r="D14" i="10"/>
  <c r="D15" i="10"/>
  <c r="G13" i="11"/>
  <c r="G12" i="11"/>
  <c r="G11" i="11"/>
  <c r="G10" i="11"/>
  <c r="G9" i="11"/>
  <c r="G8" i="11"/>
  <c r="G7" i="11"/>
  <c r="G6" i="11"/>
  <c r="G5" i="11"/>
  <c r="G4" i="11"/>
</calcChain>
</file>

<file path=xl/sharedStrings.xml><?xml version="1.0" encoding="utf-8"?>
<sst xmlns="http://schemas.openxmlformats.org/spreadsheetml/2006/main" count="427" uniqueCount="88">
  <si>
    <t>City</t>
  </si>
  <si>
    <t>Name</t>
  </si>
  <si>
    <t>Status</t>
  </si>
  <si>
    <t>Address</t>
  </si>
  <si>
    <t>Google Address</t>
  </si>
  <si>
    <t>Location Name</t>
  </si>
  <si>
    <t>Riyadh</t>
  </si>
  <si>
    <t>Yasmin</t>
  </si>
  <si>
    <t>Riyadh001</t>
  </si>
  <si>
    <t>RJ8P+352 As Sahafah, 利雅得</t>
  </si>
  <si>
    <t>https://maps.app.goo.gl/UND2eK3bJuj8QxQY6</t>
  </si>
  <si>
    <t>Ghirnatah</t>
  </si>
  <si>
    <t>Riyadh002</t>
  </si>
  <si>
    <t>Riyadh, Imam Abdullah Ibn Saud Ibn Abdulaziz Branch Rd, ground Floor</t>
  </si>
  <si>
    <t>https://maps.app.goo.gl/r2XVThK3Vhr9Cmxx6</t>
  </si>
  <si>
    <t>Malqa</t>
  </si>
  <si>
    <t>Riyadh003</t>
  </si>
  <si>
    <t>Mohammad bin Saad Street, Al Malqa, Riyadh 13525</t>
  </si>
  <si>
    <t>https://maps.app.goo.gl/xoSPJ2ctNs9FpCYHA</t>
  </si>
  <si>
    <t>Rimal</t>
  </si>
  <si>
    <t>Riyadh004</t>
  </si>
  <si>
    <t>RRX7+HP, Ar Rimal, Riyadh 13263 利雅得</t>
  </si>
  <si>
    <t>https://maps.app.goo.gl/2n6MNdi4QEaxiExo9</t>
  </si>
  <si>
    <t>Dammam</t>
  </si>
  <si>
    <t>Mazruiyah</t>
  </si>
  <si>
    <t>Dammam001</t>
  </si>
  <si>
    <t>C4PF+WGF 达曼</t>
  </si>
  <si>
    <t>https://maps.app.goo.gl/Q39YcLrtLJDL9ebe8</t>
  </si>
  <si>
    <t>Shulah</t>
  </si>
  <si>
    <t>Dammam002</t>
  </si>
  <si>
    <t>9358+QW2 达曼</t>
  </si>
  <si>
    <t>https://maps.app.goo.gl/qgkHp9zZ42EKPPuZ9</t>
  </si>
  <si>
    <t>Jeddah</t>
  </si>
  <si>
    <t>Rahmanyah</t>
  </si>
  <si>
    <t>Jeddah001</t>
  </si>
  <si>
    <t>Q6J4+2F4 Al Rahmanyah, 吉达</t>
  </si>
  <si>
    <t>https://maps.app.goo.gl/v4N4o69gL3Gj5vcz6</t>
  </si>
  <si>
    <t>Bryman</t>
  </si>
  <si>
    <t>Jeddah002</t>
  </si>
  <si>
    <t>M694+98F Bryman, 吉达</t>
  </si>
  <si>
    <t>https://maps.app.goo.gl/j2Ae8ENWRKZetFrP6</t>
  </si>
  <si>
    <t>Medina</t>
  </si>
  <si>
    <t>Aridh</t>
  </si>
  <si>
    <t>Medina001</t>
  </si>
  <si>
    <t>GM9X+GR3 麦地那</t>
  </si>
  <si>
    <t>https://maps.app.goo.gl/Gjk6rcdMwjtiZmWQ8</t>
  </si>
  <si>
    <t>Sultanah</t>
  </si>
  <si>
    <t>Medina002</t>
  </si>
  <si>
    <t>GH3X+CWP 麦地那</t>
  </si>
  <si>
    <t>https://maps.app.goo.gl/ETeBUzE89XHMbi5GA</t>
  </si>
  <si>
    <t>SKU</t>
  </si>
  <si>
    <t>Availability</t>
  </si>
  <si>
    <t>Price</t>
  </si>
  <si>
    <t>Discount Percentage</t>
  </si>
  <si>
    <t>Discounted Price</t>
  </si>
  <si>
    <t>Saudia Full Fat Milk 1L</t>
  </si>
  <si>
    <t>Saudia Full Fat Milk 2L</t>
  </si>
  <si>
    <t>Saudia Full Fat Milk Promo Pack 12×1L</t>
  </si>
  <si>
    <t>Saudia Full Fat Milk Promo Pack 1L</t>
  </si>
  <si>
    <t>Saudia Full Fat Milk Promo Pack 2×1L</t>
  </si>
  <si>
    <t>Saudia Full Fat Milk Promo Pack 6×1L</t>
  </si>
  <si>
    <t>Saudia Full Fat Milk Promo Pack combo 4×1 liter</t>
  </si>
  <si>
    <t>Saudia Full Fat Whole Milk 500ml</t>
  </si>
  <si>
    <t>Saudia Whole Milk 24×125ml</t>
  </si>
  <si>
    <t>Saudia Whole Milk 24×200ml</t>
  </si>
  <si>
    <t>Saudia Whole Milk 4×1L</t>
  </si>
  <si>
    <t>Saudia Ice Cream Sandwich Strawberry Flavor 100ml</t>
  </si>
  <si>
    <t>Saudia Ice Cream Sandwich Vanilla Flavor 100ml</t>
  </si>
  <si>
    <t>Saudia Tomato Paste 135g</t>
  </si>
  <si>
    <t>Saudia Tomato Paste Box 8×135g</t>
  </si>
  <si>
    <t>Nadec milk 1l</t>
  </si>
  <si>
    <t>Nadec milk 250 ml</t>
  </si>
  <si>
    <t>Nadec milk 500 ml</t>
  </si>
  <si>
    <t>Almarai milk 1l</t>
  </si>
  <si>
    <t>Almarai milk 250 ml</t>
  </si>
  <si>
    <t>Almarai milk 500 ml</t>
  </si>
  <si>
    <t>Al Safi milk 1l</t>
  </si>
  <si>
    <t>Al Safi milk 250 ml</t>
  </si>
  <si>
    <t>Al Safi milk 500 ml</t>
  </si>
  <si>
    <t>Lays Ketchup 155g</t>
  </si>
  <si>
    <t>Al Batal Ketchup 110g</t>
  </si>
  <si>
    <t>Pringles Ketchup 200g</t>
  </si>
  <si>
    <t>Baskin Robbins Ice Cream Chocolate Cup 120 ml</t>
  </si>
  <si>
    <t>Kwality Chocolate Cup Ice Cream 125ml</t>
  </si>
  <si>
    <t>Nada Fresh Plain Zero Fat Greek Yoghurt 160g</t>
  </si>
  <si>
    <t>Luna Evaporated Milk 170g</t>
  </si>
  <si>
    <t>Al Alali Pizza Sauce Original Italian Recipe 320g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</si>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</sst>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3" fillId="3" borderId="1" xfId="0" applyFont="1" applyFill="1" applyBorder="1"/>
    <xf numFmtId="0" fontId="0" fillId="0" borderId="1" xfId="0" applyBorder="1"/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4" fillId="0" borderId="1" xfId="0" applyFont="1" applyBorder="1"/>
    <xf numFmtId="0" fontId="0" fillId="3" borderId="0" xfId="0" applyFill="1"/>
    <xf numFmtId="0" fontId="5" fillId="3" borderId="0" xfId="0" applyFont="1" applyFill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77910A0-DB7D-4832-9CA4-B5E15C80A7A2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j2Ae8ENWRKZetFrP6" TargetMode="External"/><Relationship Id="rId3" Type="http://schemas.openxmlformats.org/officeDocument/2006/relationships/hyperlink" Target="https://maps.app.goo.gl/xoSPJ2ctNs9FpCYHA" TargetMode="External"/><Relationship Id="rId7" Type="http://schemas.openxmlformats.org/officeDocument/2006/relationships/hyperlink" Target="https://maps.app.goo.gl/v4N4o69gL3Gj5vcz6" TargetMode="External"/><Relationship Id="rId2" Type="http://schemas.openxmlformats.org/officeDocument/2006/relationships/hyperlink" Target="https://maps.app.goo.gl/r2XVThK3Vhr9Cmxx6" TargetMode="External"/><Relationship Id="rId1" Type="http://schemas.openxmlformats.org/officeDocument/2006/relationships/hyperlink" Target="https://maps.app.goo.gl/UND2eK3bJuj8QxQY6" TargetMode="External"/><Relationship Id="rId6" Type="http://schemas.openxmlformats.org/officeDocument/2006/relationships/hyperlink" Target="https://maps.app.goo.gl/qgkHp9zZ42EKPPuZ9" TargetMode="External"/><Relationship Id="rId5" Type="http://schemas.openxmlformats.org/officeDocument/2006/relationships/hyperlink" Target="https://maps.app.goo.gl/Q39YcLrtLJDL9ebe8" TargetMode="External"/><Relationship Id="rId10" Type="http://schemas.openxmlformats.org/officeDocument/2006/relationships/hyperlink" Target="https://maps.app.goo.gl/ETeBUzE89XHMbi5GA" TargetMode="External"/><Relationship Id="rId4" Type="http://schemas.openxmlformats.org/officeDocument/2006/relationships/hyperlink" Target="https://maps.app.goo.gl/2n6MNdi4QEaxiExo9" TargetMode="External"/><Relationship Id="rId9" Type="http://schemas.openxmlformats.org/officeDocument/2006/relationships/hyperlink" Target="https://maps.app.goo.gl/Gjk6rcdMwjtiZmWQ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EF9C8-FE6B-4626-BD20-5D828D4FA0C7}">
  <dimension ref="B3:G13"/>
  <sheetViews>
    <sheetView workbookViewId="0">
      <selection activeCell="C11" sqref="C11"/>
    </sheetView>
  </sheetViews>
  <sheetFormatPr defaultRowHeight="15.75"/>
  <cols>
    <col min="4" max="4" width="12" bestFit="1" customWidth="1"/>
    <col min="5" max="5" width="58.625" bestFit="1" customWidth="1"/>
    <col min="6" max="6" width="39.125" bestFit="1" customWidth="1"/>
    <col min="7" max="7" width="17.25" bestFit="1" customWidth="1"/>
  </cols>
  <sheetData>
    <row r="3" spans="2:7" ht="15" customHeight="1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6" t="s">
        <v>5</v>
      </c>
    </row>
    <row r="4" spans="2:7" ht="15" customHeight="1">
      <c r="B4" s="3" t="s">
        <v>6</v>
      </c>
      <c r="C4" s="3" t="s">
        <v>7</v>
      </c>
      <c r="D4" s="3" t="s">
        <v>8</v>
      </c>
      <c r="E4" s="3" t="s">
        <v>9</v>
      </c>
      <c r="F4" s="4" t="s">
        <v>10</v>
      </c>
      <c r="G4" s="3" t="str">
        <f>_xlfn.CONCAT(B4,C4)</f>
        <v>RiyadhYasmin</v>
      </c>
    </row>
    <row r="5" spans="2:7" ht="15" customHeight="1">
      <c r="B5" s="3" t="s">
        <v>6</v>
      </c>
      <c r="C5" s="3" t="s">
        <v>11</v>
      </c>
      <c r="D5" s="3" t="s">
        <v>12</v>
      </c>
      <c r="E5" s="3" t="s">
        <v>13</v>
      </c>
      <c r="F5" s="4" t="s">
        <v>14</v>
      </c>
      <c r="G5" s="3" t="str">
        <f t="shared" ref="G5:G13" si="0">_xlfn.CONCAT(B5,C5)</f>
        <v>RiyadhGhirnatah</v>
      </c>
    </row>
    <row r="6" spans="2:7" ht="15" customHeight="1">
      <c r="B6" s="3" t="s">
        <v>6</v>
      </c>
      <c r="C6" s="3" t="s">
        <v>15</v>
      </c>
      <c r="D6" s="3" t="s">
        <v>16</v>
      </c>
      <c r="E6" s="3" t="s">
        <v>17</v>
      </c>
      <c r="F6" s="4" t="s">
        <v>18</v>
      </c>
      <c r="G6" s="3" t="str">
        <f t="shared" si="0"/>
        <v>RiyadhMalqa</v>
      </c>
    </row>
    <row r="7" spans="2:7" ht="15" customHeight="1">
      <c r="B7" s="3" t="s">
        <v>6</v>
      </c>
      <c r="C7" s="3" t="s">
        <v>19</v>
      </c>
      <c r="D7" s="3" t="s">
        <v>20</v>
      </c>
      <c r="E7" s="3" t="s">
        <v>21</v>
      </c>
      <c r="F7" s="4" t="s">
        <v>22</v>
      </c>
      <c r="G7" s="3" t="str">
        <f t="shared" si="0"/>
        <v>RiyadhRimal</v>
      </c>
    </row>
    <row r="8" spans="2:7" ht="15" customHeight="1">
      <c r="B8" s="3" t="s">
        <v>23</v>
      </c>
      <c r="C8" s="3" t="s">
        <v>24</v>
      </c>
      <c r="D8" s="3" t="s">
        <v>25</v>
      </c>
      <c r="E8" s="3" t="s">
        <v>26</v>
      </c>
      <c r="F8" s="5" t="s">
        <v>27</v>
      </c>
      <c r="G8" s="3" t="str">
        <f t="shared" si="0"/>
        <v>DammamMazruiyah</v>
      </c>
    </row>
    <row r="9" spans="2:7" ht="15" customHeight="1">
      <c r="B9" s="3" t="s">
        <v>23</v>
      </c>
      <c r="C9" s="3" t="s">
        <v>28</v>
      </c>
      <c r="D9" s="3" t="s">
        <v>29</v>
      </c>
      <c r="E9" s="3" t="s">
        <v>30</v>
      </c>
      <c r="F9" s="5" t="s">
        <v>31</v>
      </c>
      <c r="G9" s="3" t="str">
        <f t="shared" si="0"/>
        <v>DammamShulah</v>
      </c>
    </row>
    <row r="10" spans="2:7" ht="15" customHeight="1">
      <c r="B10" s="3" t="s">
        <v>32</v>
      </c>
      <c r="C10" s="3" t="s">
        <v>33</v>
      </c>
      <c r="D10" s="3" t="s">
        <v>34</v>
      </c>
      <c r="E10" s="3" t="s">
        <v>35</v>
      </c>
      <c r="F10" s="4" t="s">
        <v>36</v>
      </c>
      <c r="G10" s="3" t="str">
        <f t="shared" si="0"/>
        <v>JeddahRahmanyah</v>
      </c>
    </row>
    <row r="11" spans="2:7" ht="15" customHeight="1">
      <c r="B11" s="3" t="s">
        <v>32</v>
      </c>
      <c r="C11" s="3" t="s">
        <v>37</v>
      </c>
      <c r="D11" s="3" t="s">
        <v>38</v>
      </c>
      <c r="E11" s="3" t="s">
        <v>39</v>
      </c>
      <c r="F11" s="4" t="s">
        <v>40</v>
      </c>
      <c r="G11" s="3" t="str">
        <f t="shared" si="0"/>
        <v>JeddahBryman</v>
      </c>
    </row>
    <row r="12" spans="2:7" ht="15" customHeight="1">
      <c r="B12" s="3" t="s">
        <v>41</v>
      </c>
      <c r="C12" s="3" t="s">
        <v>42</v>
      </c>
      <c r="D12" s="3" t="s">
        <v>43</v>
      </c>
      <c r="E12" s="3" t="s">
        <v>44</v>
      </c>
      <c r="F12" s="5" t="s">
        <v>45</v>
      </c>
      <c r="G12" s="3" t="str">
        <f t="shared" si="0"/>
        <v>MedinaAridh</v>
      </c>
    </row>
    <row r="13" spans="2:7" ht="15" customHeight="1">
      <c r="B13" s="3" t="s">
        <v>41</v>
      </c>
      <c r="C13" s="3" t="s">
        <v>46</v>
      </c>
      <c r="D13" s="3" t="s">
        <v>47</v>
      </c>
      <c r="E13" s="3" t="s">
        <v>48</v>
      </c>
      <c r="F13" s="5" t="s">
        <v>49</v>
      </c>
      <c r="G13" s="3" t="str">
        <f t="shared" si="0"/>
        <v>MedinaSultanah</v>
      </c>
    </row>
  </sheetData>
  <hyperlinks>
    <hyperlink ref="F4" r:id="rId1" xr:uid="{1DD64FDF-9C57-4BA2-927E-B9CD68A1B4E5}"/>
    <hyperlink ref="F5" r:id="rId2" xr:uid="{122DF62F-DF5D-4F7F-B83E-085F9DFF6BAF}"/>
    <hyperlink ref="F6" r:id="rId3" xr:uid="{B9869CA1-BC36-4A52-A390-A852EC915F94}"/>
    <hyperlink ref="F7" r:id="rId4" xr:uid="{97286398-F9CF-4331-BDF4-DB7A6D4E0CF2}"/>
    <hyperlink ref="F8" r:id="rId5" xr:uid="{C56BF8AE-3183-418B-B02A-E799593988B2}"/>
    <hyperlink ref="F9" r:id="rId6" xr:uid="{5828D41E-EBEE-495B-ABEE-9C2947D930B2}"/>
    <hyperlink ref="F10" r:id="rId7" xr:uid="{39FAF9E7-87A9-4BA2-800F-DE172DA272E3}"/>
    <hyperlink ref="F11" r:id="rId8" xr:uid="{0C4B2148-3EE1-42E3-9FBC-3D523B9CC065}"/>
    <hyperlink ref="F12" r:id="rId9" xr:uid="{4874A57B-1A00-4BE4-891A-BD60140177E0}"/>
    <hyperlink ref="F13" r:id="rId10" xr:uid="{2BB9AD63-5500-4C87-BE79-F0C705A1875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AC41-B754-A141-B026-6D395D7D7C80}">
  <dimension ref="A1:E45"/>
  <sheetViews>
    <sheetView tabSelected="1" topLeftCell="A7" workbookViewId="0">
      <selection activeCell="C18" sqref="C18"/>
    </sheetView>
  </sheetViews>
  <sheetFormatPr defaultColWidth="10.625" defaultRowHeight="15.95"/>
  <cols>
    <col min="1" max="1" width="40.375" customWidth="1"/>
    <col min="4" max="4" width="17.875" style="9" bestFit="1" customWidth="1"/>
    <col min="5" max="5" width="14.75" bestFit="1" customWidth="1"/>
    <col min="10" max="10" width="43.875" bestFit="1" customWidth="1"/>
    <col min="11" max="14" width="14.75" customWidth="1"/>
  </cols>
  <sheetData>
    <row r="1" spans="1:5" ht="15.75">
      <c r="A1" t="s">
        <v>50</v>
      </c>
      <c r="B1" t="s">
        <v>51</v>
      </c>
      <c r="C1" t="s">
        <v>52</v>
      </c>
      <c r="D1" s="9" t="s">
        <v>53</v>
      </c>
      <c r="E1" t="s">
        <v>54</v>
      </c>
    </row>
    <row r="2" spans="1:5" ht="15.75">
      <c r="A2" s="1" t="s">
        <v>55</v>
      </c>
      <c r="B2">
        <v>0</v>
      </c>
      <c r="D2" s="9">
        <v>0</v>
      </c>
    </row>
    <row r="3" spans="1:5" ht="15.75">
      <c r="A3" s="1" t="s">
        <v>56</v>
      </c>
      <c r="B3">
        <v>1</v>
      </c>
      <c r="C3">
        <v>11.5</v>
      </c>
      <c r="D3" s="9">
        <f>(C3-E3)/C3</f>
        <v>0</v>
      </c>
      <c r="E3">
        <v>11.5</v>
      </c>
    </row>
    <row r="4" spans="1:5" ht="15.75">
      <c r="A4" s="1" t="s">
        <v>57</v>
      </c>
      <c r="B4">
        <v>1</v>
      </c>
      <c r="C4">
        <v>72</v>
      </c>
      <c r="D4" s="9">
        <f>(C4-E4)/C4</f>
        <v>3.1944444444444407E-2</v>
      </c>
      <c r="E4">
        <v>69.7</v>
      </c>
    </row>
    <row r="5" spans="1:5" ht="15.75">
      <c r="A5" s="1" t="s">
        <v>58</v>
      </c>
      <c r="B5">
        <v>1</v>
      </c>
      <c r="C5">
        <v>6</v>
      </c>
      <c r="D5" s="9">
        <f>(C5-E5)/C5</f>
        <v>0.1166666666666667</v>
      </c>
      <c r="E5">
        <v>5.3</v>
      </c>
    </row>
    <row r="6" spans="1:5" ht="15.75">
      <c r="A6" s="1" t="s">
        <v>59</v>
      </c>
      <c r="B6">
        <v>0</v>
      </c>
      <c r="D6" s="9">
        <v>0</v>
      </c>
    </row>
    <row r="7" spans="1:5" ht="15.75">
      <c r="A7" s="1" t="s">
        <v>60</v>
      </c>
      <c r="B7">
        <v>0</v>
      </c>
      <c r="D7" s="9">
        <v>0</v>
      </c>
    </row>
    <row r="8" spans="1:5" ht="15.75">
      <c r="A8" s="1" t="s">
        <v>61</v>
      </c>
      <c r="B8">
        <v>0</v>
      </c>
      <c r="D8" s="9">
        <v>0</v>
      </c>
    </row>
    <row r="9" spans="1:5" ht="15.75">
      <c r="A9" s="1" t="s">
        <v>62</v>
      </c>
      <c r="B9">
        <v>0</v>
      </c>
      <c r="C9">
        <v>4</v>
      </c>
      <c r="D9" s="9">
        <f>(C9-E9)/C9</f>
        <v>1</v>
      </c>
    </row>
    <row r="10" spans="1:5" ht="15.75">
      <c r="A10" s="1" t="s">
        <v>63</v>
      </c>
      <c r="B10">
        <v>1</v>
      </c>
      <c r="C10">
        <v>30</v>
      </c>
      <c r="D10" s="9">
        <f>(C10-E10)/C10</f>
        <v>0.33500000000000002</v>
      </c>
      <c r="E10">
        <v>19.95</v>
      </c>
    </row>
    <row r="11" spans="1:5" ht="15.75">
      <c r="A11" s="1" t="s">
        <v>64</v>
      </c>
      <c r="B11">
        <v>1</v>
      </c>
      <c r="C11">
        <v>45</v>
      </c>
      <c r="D11" s="9">
        <f>(C11-E11)/C11</f>
        <v>1.3333333333333365E-2</v>
      </c>
      <c r="E11">
        <v>44.4</v>
      </c>
    </row>
    <row r="12" spans="1:5" ht="15.75">
      <c r="A12" s="1" t="s">
        <v>65</v>
      </c>
      <c r="B12">
        <v>0</v>
      </c>
      <c r="C12">
        <v>24.5</v>
      </c>
      <c r="D12" s="9">
        <f>(C12-E12)/C12</f>
        <v>3.0612244897959183E-2</v>
      </c>
      <c r="E12">
        <v>23.75</v>
      </c>
    </row>
    <row r="13" spans="1:5" ht="15.75">
      <c r="A13" s="1" t="s">
        <v>66</v>
      </c>
      <c r="B13">
        <v>0</v>
      </c>
      <c r="D13" s="9">
        <v>0</v>
      </c>
    </row>
    <row r="14" spans="1:5" ht="15.75">
      <c r="A14" s="1" t="s">
        <v>67</v>
      </c>
      <c r="B14">
        <v>1</v>
      </c>
      <c r="C14">
        <v>2.95</v>
      </c>
      <c r="D14" s="9">
        <f>(C14-E14)/C14</f>
        <v>0</v>
      </c>
      <c r="E14">
        <v>2.95</v>
      </c>
    </row>
    <row r="15" spans="1:5" ht="15.75">
      <c r="A15" s="1" t="s">
        <v>68</v>
      </c>
      <c r="B15">
        <v>1</v>
      </c>
      <c r="C15">
        <v>2.5499999999999998</v>
      </c>
      <c r="D15" s="9">
        <f>(C15-E15)/C15</f>
        <v>0</v>
      </c>
      <c r="E15">
        <v>2.5499999999999998</v>
      </c>
    </row>
    <row r="16" spans="1:5" ht="15.75">
      <c r="A16" s="1" t="s">
        <v>69</v>
      </c>
      <c r="B16">
        <v>1</v>
      </c>
      <c r="C16">
        <v>15.95</v>
      </c>
      <c r="D16" s="9">
        <f>(C16-E16)/C16</f>
        <v>0.25078369905956116</v>
      </c>
      <c r="E16">
        <v>11.95</v>
      </c>
    </row>
    <row r="17" spans="1:5" ht="15.75"/>
    <row r="18" spans="1:5" ht="15.75">
      <c r="A18" s="7" t="s">
        <v>70</v>
      </c>
      <c r="B18">
        <v>1</v>
      </c>
      <c r="C18">
        <v>6.5</v>
      </c>
      <c r="D18" s="9">
        <f t="shared" ref="D18:D29" si="0">(C18-E18)/C18</f>
        <v>0</v>
      </c>
      <c r="E18">
        <v>6.5</v>
      </c>
    </row>
    <row r="19" spans="1:5" ht="15.75">
      <c r="A19" s="7" t="s">
        <v>71</v>
      </c>
      <c r="B19">
        <v>0</v>
      </c>
      <c r="D19" s="9">
        <v>0</v>
      </c>
    </row>
    <row r="20" spans="1:5" ht="15.75">
      <c r="A20" s="7" t="s">
        <v>72</v>
      </c>
      <c r="B20">
        <v>0</v>
      </c>
      <c r="D20" s="9">
        <v>0</v>
      </c>
    </row>
    <row r="21" spans="1:5" ht="15.75">
      <c r="A21" s="7" t="s">
        <v>73</v>
      </c>
      <c r="B21">
        <v>1</v>
      </c>
      <c r="C21">
        <v>6.5</v>
      </c>
      <c r="D21" s="9">
        <f t="shared" si="0"/>
        <v>0</v>
      </c>
      <c r="E21">
        <v>6.5</v>
      </c>
    </row>
    <row r="22" spans="1:5" ht="15.75">
      <c r="A22" s="7" t="s">
        <v>74</v>
      </c>
      <c r="B22">
        <v>0</v>
      </c>
      <c r="D22" s="9">
        <v>0</v>
      </c>
    </row>
    <row r="23" spans="1:5" ht="15.75">
      <c r="A23" s="7" t="s">
        <v>75</v>
      </c>
      <c r="B23">
        <v>0</v>
      </c>
      <c r="C23">
        <v>4</v>
      </c>
      <c r="D23" s="9">
        <v>0</v>
      </c>
      <c r="E23">
        <v>4</v>
      </c>
    </row>
    <row r="24" spans="1:5" ht="15.75">
      <c r="A24" s="7" t="s">
        <v>76</v>
      </c>
      <c r="B24">
        <v>1</v>
      </c>
      <c r="C24">
        <v>5.9</v>
      </c>
      <c r="D24" s="9">
        <f t="shared" si="0"/>
        <v>0</v>
      </c>
      <c r="E24">
        <v>5.9</v>
      </c>
    </row>
    <row r="25" spans="1:5" ht="15.75">
      <c r="A25" s="7" t="s">
        <v>77</v>
      </c>
      <c r="B25">
        <v>0</v>
      </c>
      <c r="D25" s="9">
        <v>0</v>
      </c>
    </row>
    <row r="26" spans="1:5" ht="15.75">
      <c r="A26" s="7" t="s">
        <v>78</v>
      </c>
      <c r="B26">
        <v>0</v>
      </c>
      <c r="D26" s="9">
        <v>0</v>
      </c>
    </row>
    <row r="27" spans="1:5" ht="15.75">
      <c r="A27" s="7" t="s">
        <v>79</v>
      </c>
      <c r="B27">
        <v>1</v>
      </c>
      <c r="C27">
        <v>8.5</v>
      </c>
      <c r="D27" s="9">
        <f t="shared" si="0"/>
        <v>0.3235294117647059</v>
      </c>
      <c r="E27">
        <v>5.75</v>
      </c>
    </row>
    <row r="28" spans="1:5" ht="15.75">
      <c r="A28" s="7" t="s">
        <v>80</v>
      </c>
      <c r="B28">
        <v>1</v>
      </c>
      <c r="C28">
        <v>4.95</v>
      </c>
      <c r="D28" s="9">
        <f t="shared" si="0"/>
        <v>0</v>
      </c>
      <c r="E28">
        <v>4.95</v>
      </c>
    </row>
    <row r="29" spans="1:5" ht="15.75">
      <c r="A29" s="7" t="s">
        <v>81</v>
      </c>
      <c r="B29">
        <v>1</v>
      </c>
      <c r="C29">
        <v>17.850000000000001</v>
      </c>
      <c r="D29" s="9">
        <f t="shared" si="0"/>
        <v>0</v>
      </c>
      <c r="E29">
        <v>17.850000000000001</v>
      </c>
    </row>
    <row r="30" spans="1:5" ht="15.75">
      <c r="A30" s="7" t="s">
        <v>82</v>
      </c>
      <c r="B30">
        <v>1</v>
      </c>
      <c r="C30">
        <v>9.9499999999999993</v>
      </c>
      <c r="D30" s="9">
        <f>(C30-E30)/C30</f>
        <v>0.15075376884422112</v>
      </c>
      <c r="E30">
        <v>8.4499999999999993</v>
      </c>
    </row>
    <row r="31" spans="1:5" ht="15.75">
      <c r="A31" s="8" t="s">
        <v>83</v>
      </c>
      <c r="B31">
        <v>1</v>
      </c>
      <c r="C31">
        <v>5.95</v>
      </c>
      <c r="D31" s="9">
        <f t="shared" ref="D31:D34" si="1">(C31-E31)/C31</f>
        <v>0</v>
      </c>
      <c r="E31">
        <v>5.95</v>
      </c>
    </row>
    <row r="32" spans="1:5" ht="15.75">
      <c r="A32" s="7" t="s">
        <v>84</v>
      </c>
      <c r="B32">
        <v>0</v>
      </c>
      <c r="C32">
        <v>5.95</v>
      </c>
      <c r="D32" s="9">
        <f t="shared" si="1"/>
        <v>0</v>
      </c>
      <c r="E32">
        <v>5.95</v>
      </c>
    </row>
    <row r="33" spans="1:5" ht="15.75">
      <c r="A33" s="7" t="s">
        <v>85</v>
      </c>
      <c r="B33">
        <v>1</v>
      </c>
      <c r="C33">
        <v>3.5</v>
      </c>
      <c r="D33" s="9">
        <f t="shared" si="1"/>
        <v>0</v>
      </c>
      <c r="E33">
        <v>3.5</v>
      </c>
    </row>
    <row r="34" spans="1:5" ht="15.75">
      <c r="A34" s="7" t="s">
        <v>86</v>
      </c>
      <c r="B34">
        <v>1</v>
      </c>
      <c r="C34">
        <v>13.85</v>
      </c>
      <c r="D34" s="9">
        <f t="shared" si="1"/>
        <v>0</v>
      </c>
      <c r="E34">
        <v>13.85</v>
      </c>
    </row>
    <row r="35" spans="1:5" ht="15.75"/>
    <row r="36" spans="1:5" ht="15.75"/>
    <row r="37" spans="1:5" ht="15.75"/>
    <row r="38" spans="1:5" ht="15.75"/>
    <row r="39" spans="1:5" ht="15.75"/>
    <row r="40" spans="1:5" ht="15.75"/>
    <row r="41" spans="1:5" ht="15.75"/>
    <row r="42" spans="1:5" ht="15.75"/>
    <row r="43" spans="1:5" ht="15.75"/>
    <row r="44" spans="1:5" ht="15.75"/>
    <row r="45" spans="1:5" ht="15.75"/>
  </sheetData>
  <autoFilter ref="A18:E34" xr:uid="{F02DAC41-B754-A141-B026-6D395D7D7C8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0C32-815C-734E-83A9-CF3F4964A50E}">
  <dimension ref="A1:E45"/>
  <sheetViews>
    <sheetView workbookViewId="0">
      <selection activeCell="C23" sqref="C23:E23"/>
    </sheetView>
  </sheetViews>
  <sheetFormatPr defaultColWidth="10.625" defaultRowHeight="15.95"/>
  <cols>
    <col min="1" max="1" width="41" customWidth="1"/>
    <col min="8" max="8" width="43.875" bestFit="1" customWidth="1"/>
  </cols>
  <sheetData>
    <row r="1" spans="1:5">
      <c r="A1" t="s">
        <v>50</v>
      </c>
      <c r="B1" t="s">
        <v>51</v>
      </c>
      <c r="C1" t="s">
        <v>52</v>
      </c>
      <c r="D1" s="9" t="s">
        <v>53</v>
      </c>
      <c r="E1" t="s">
        <v>54</v>
      </c>
    </row>
    <row r="2" spans="1:5" ht="15.75">
      <c r="A2" s="1" t="s">
        <v>55</v>
      </c>
      <c r="B2">
        <v>0</v>
      </c>
      <c r="D2" s="9">
        <v>0</v>
      </c>
    </row>
    <row r="3" spans="1:5" ht="15.75">
      <c r="A3" s="1" t="s">
        <v>56</v>
      </c>
      <c r="B3">
        <v>1</v>
      </c>
      <c r="C3">
        <v>11.5</v>
      </c>
      <c r="D3" s="9">
        <f>(C3-E3)/C3</f>
        <v>0</v>
      </c>
      <c r="E3">
        <v>11.5</v>
      </c>
    </row>
    <row r="4" spans="1:5" ht="15.75">
      <c r="A4" s="1" t="s">
        <v>57</v>
      </c>
      <c r="B4">
        <v>1</v>
      </c>
      <c r="C4">
        <v>72</v>
      </c>
      <c r="D4" s="9">
        <f>(C4-E4)/C4</f>
        <v>3.1944444444444407E-2</v>
      </c>
      <c r="E4">
        <v>69.7</v>
      </c>
    </row>
    <row r="5" spans="1:5" ht="15.75">
      <c r="A5" s="1" t="s">
        <v>58</v>
      </c>
      <c r="B5">
        <v>1</v>
      </c>
      <c r="C5">
        <v>6</v>
      </c>
      <c r="D5" s="9">
        <f>(C5-E5)/C5</f>
        <v>0.1166666666666667</v>
      </c>
      <c r="E5">
        <v>5.3</v>
      </c>
    </row>
    <row r="6" spans="1:5" ht="15.75">
      <c r="A6" s="1" t="s">
        <v>59</v>
      </c>
      <c r="B6">
        <v>0</v>
      </c>
      <c r="D6" s="9">
        <v>0</v>
      </c>
    </row>
    <row r="7" spans="1:5" ht="15.75">
      <c r="A7" s="1" t="s">
        <v>60</v>
      </c>
      <c r="B7">
        <v>0</v>
      </c>
      <c r="D7" s="9">
        <v>0</v>
      </c>
    </row>
    <row r="8" spans="1:5" ht="15.75">
      <c r="A8" s="1" t="s">
        <v>61</v>
      </c>
      <c r="B8">
        <v>0</v>
      </c>
      <c r="D8" s="9">
        <v>0</v>
      </c>
    </row>
    <row r="9" spans="1:5" ht="15.75">
      <c r="A9" s="1" t="s">
        <v>62</v>
      </c>
      <c r="B9">
        <v>0</v>
      </c>
      <c r="C9">
        <v>4</v>
      </c>
      <c r="D9" s="9">
        <f>(C9-E9)/C9</f>
        <v>1</v>
      </c>
    </row>
    <row r="10" spans="1:5" ht="15.75">
      <c r="A10" s="1" t="s">
        <v>63</v>
      </c>
      <c r="B10">
        <v>1</v>
      </c>
      <c r="C10">
        <v>30</v>
      </c>
      <c r="D10" s="9">
        <f>(C10-E10)/C10</f>
        <v>0.33500000000000002</v>
      </c>
      <c r="E10">
        <v>19.95</v>
      </c>
    </row>
    <row r="11" spans="1:5" ht="15.75">
      <c r="A11" s="1" t="s">
        <v>64</v>
      </c>
      <c r="B11">
        <v>1</v>
      </c>
      <c r="C11">
        <v>45</v>
      </c>
      <c r="D11" s="9">
        <f>(C11-E11)/C11</f>
        <v>1.3333333333333365E-2</v>
      </c>
      <c r="E11">
        <v>44.4</v>
      </c>
    </row>
    <row r="12" spans="1:5" ht="15.75">
      <c r="A12" s="1" t="s">
        <v>65</v>
      </c>
      <c r="B12">
        <v>0</v>
      </c>
      <c r="C12">
        <v>24.5</v>
      </c>
      <c r="D12" s="9">
        <f>(C12-E12)/C12</f>
        <v>3.0612244897959183E-2</v>
      </c>
      <c r="E12">
        <v>23.75</v>
      </c>
    </row>
    <row r="13" spans="1:5" ht="15.75">
      <c r="A13" s="1" t="s">
        <v>66</v>
      </c>
      <c r="B13">
        <v>0</v>
      </c>
      <c r="D13" s="9">
        <v>0</v>
      </c>
    </row>
    <row r="14" spans="1:5" ht="15.75">
      <c r="A14" s="1" t="s">
        <v>67</v>
      </c>
      <c r="B14">
        <v>1</v>
      </c>
      <c r="C14">
        <v>2.95</v>
      </c>
      <c r="D14" s="9">
        <f>(C14-E14)/C14</f>
        <v>0</v>
      </c>
      <c r="E14">
        <v>2.95</v>
      </c>
    </row>
    <row r="15" spans="1:5" ht="15.75">
      <c r="A15" s="1" t="s">
        <v>68</v>
      </c>
      <c r="B15">
        <v>1</v>
      </c>
      <c r="C15">
        <v>2.5499999999999998</v>
      </c>
      <c r="D15" s="9">
        <f>(C15-E15)/C15</f>
        <v>0</v>
      </c>
      <c r="E15">
        <v>2.5499999999999998</v>
      </c>
    </row>
    <row r="16" spans="1:5" ht="15.75">
      <c r="A16" s="1" t="s">
        <v>69</v>
      </c>
      <c r="B16">
        <v>1</v>
      </c>
      <c r="C16">
        <v>15.95</v>
      </c>
      <c r="D16" s="9">
        <f>(C16-E16)/C16</f>
        <v>0.25078369905956116</v>
      </c>
      <c r="E16">
        <v>11.95</v>
      </c>
    </row>
    <row r="17" spans="1:5" ht="15.75">
      <c r="D17" s="9"/>
    </row>
    <row r="18" spans="1:5" ht="15.75">
      <c r="A18" s="7" t="s">
        <v>70</v>
      </c>
      <c r="B18">
        <v>1</v>
      </c>
      <c r="C18">
        <v>6.5</v>
      </c>
      <c r="D18" s="9">
        <f t="shared" ref="D18:D29" si="0">(C18-E18)/C18</f>
        <v>0</v>
      </c>
      <c r="E18">
        <v>6.5</v>
      </c>
    </row>
    <row r="19" spans="1:5" ht="15.75">
      <c r="A19" s="7" t="s">
        <v>71</v>
      </c>
      <c r="B19">
        <v>0</v>
      </c>
      <c r="D19" s="9">
        <v>0</v>
      </c>
    </row>
    <row r="20" spans="1:5" ht="15.75">
      <c r="A20" s="7" t="s">
        <v>72</v>
      </c>
      <c r="B20">
        <v>0</v>
      </c>
      <c r="D20" s="9">
        <v>0</v>
      </c>
    </row>
    <row r="21" spans="1:5">
      <c r="A21" s="7" t="s">
        <v>73</v>
      </c>
      <c r="B21">
        <v>1</v>
      </c>
      <c r="C21">
        <v>6.5</v>
      </c>
      <c r="D21" s="9">
        <f t="shared" si="0"/>
        <v>0</v>
      </c>
      <c r="E21">
        <v>6.5</v>
      </c>
    </row>
    <row r="22" spans="1:5">
      <c r="A22" s="7" t="s">
        <v>74</v>
      </c>
      <c r="B22">
        <v>0</v>
      </c>
      <c r="D22" s="9">
        <v>0</v>
      </c>
    </row>
    <row r="23" spans="1:5">
      <c r="A23" s="7" t="s">
        <v>75</v>
      </c>
      <c r="B23">
        <v>0</v>
      </c>
      <c r="C23">
        <v>4</v>
      </c>
      <c r="D23" s="9">
        <v>0</v>
      </c>
      <c r="E23">
        <v>4</v>
      </c>
    </row>
    <row r="24" spans="1:5">
      <c r="A24" s="7" t="s">
        <v>76</v>
      </c>
      <c r="B24">
        <v>1</v>
      </c>
      <c r="C24">
        <v>5.9</v>
      </c>
      <c r="D24" s="9">
        <f t="shared" si="0"/>
        <v>0</v>
      </c>
      <c r="E24">
        <v>5.9</v>
      </c>
    </row>
    <row r="25" spans="1:5">
      <c r="A25" s="7" t="s">
        <v>77</v>
      </c>
      <c r="B25">
        <v>0</v>
      </c>
      <c r="D25" s="9">
        <v>0</v>
      </c>
    </row>
    <row r="26" spans="1:5">
      <c r="A26" s="7" t="s">
        <v>78</v>
      </c>
      <c r="B26">
        <v>0</v>
      </c>
      <c r="D26" s="9">
        <v>0</v>
      </c>
    </row>
    <row r="27" spans="1:5">
      <c r="A27" s="7" t="s">
        <v>79</v>
      </c>
      <c r="B27">
        <v>1</v>
      </c>
      <c r="C27">
        <v>8.5</v>
      </c>
      <c r="D27" s="9">
        <f t="shared" si="0"/>
        <v>0.3235294117647059</v>
      </c>
      <c r="E27">
        <v>5.75</v>
      </c>
    </row>
    <row r="28" spans="1:5">
      <c r="A28" s="7" t="s">
        <v>80</v>
      </c>
      <c r="B28">
        <v>1</v>
      </c>
      <c r="C28">
        <v>4.95</v>
      </c>
      <c r="D28" s="9">
        <f t="shared" si="0"/>
        <v>0</v>
      </c>
      <c r="E28">
        <v>4.95</v>
      </c>
    </row>
    <row r="29" spans="1:5">
      <c r="A29" s="7" t="s">
        <v>81</v>
      </c>
      <c r="B29">
        <v>1</v>
      </c>
      <c r="C29">
        <v>17.850000000000001</v>
      </c>
      <c r="D29" s="9">
        <f t="shared" si="0"/>
        <v>0</v>
      </c>
      <c r="E29">
        <v>17.850000000000001</v>
      </c>
    </row>
    <row r="30" spans="1:5">
      <c r="A30" s="7" t="s">
        <v>82</v>
      </c>
      <c r="B30">
        <v>1</v>
      </c>
      <c r="C30">
        <v>9.9499999999999993</v>
      </c>
      <c r="D30" s="9">
        <f>(C30-E30)/C30</f>
        <v>0.15075376884422112</v>
      </c>
      <c r="E30">
        <v>8.4499999999999993</v>
      </c>
    </row>
    <row r="31" spans="1:5" ht="15.75">
      <c r="A31" s="8" t="s">
        <v>83</v>
      </c>
      <c r="B31">
        <v>1</v>
      </c>
      <c r="C31">
        <v>5.95</v>
      </c>
      <c r="D31" s="9">
        <f t="shared" ref="D31:D34" si="1">(C31-E31)/C31</f>
        <v>0</v>
      </c>
      <c r="E31">
        <v>5.95</v>
      </c>
    </row>
    <row r="32" spans="1:5">
      <c r="A32" s="7" t="s">
        <v>84</v>
      </c>
      <c r="B32">
        <v>1</v>
      </c>
      <c r="C32">
        <v>5.95</v>
      </c>
      <c r="D32" s="9">
        <f t="shared" si="1"/>
        <v>0</v>
      </c>
      <c r="E32">
        <v>5.95</v>
      </c>
    </row>
    <row r="33" spans="1:5">
      <c r="A33" s="7" t="s">
        <v>85</v>
      </c>
      <c r="B33">
        <v>1</v>
      </c>
      <c r="C33">
        <v>3.5</v>
      </c>
      <c r="D33" s="9">
        <f t="shared" si="1"/>
        <v>0</v>
      </c>
      <c r="E33">
        <v>3.5</v>
      </c>
    </row>
    <row r="34" spans="1:5">
      <c r="A34" s="7" t="s">
        <v>86</v>
      </c>
      <c r="B34">
        <v>1</v>
      </c>
      <c r="C34">
        <v>13.85</v>
      </c>
      <c r="D34" s="9">
        <f t="shared" si="1"/>
        <v>0</v>
      </c>
      <c r="E34">
        <v>13.85</v>
      </c>
    </row>
    <row r="35" spans="1:5" ht="15.75">
      <c r="D35" s="9"/>
    </row>
    <row r="36" spans="1:5">
      <c r="D36" s="9"/>
    </row>
    <row r="37" spans="1:5">
      <c r="D37" s="9"/>
    </row>
    <row r="38" spans="1:5">
      <c r="D38" s="9"/>
    </row>
    <row r="39" spans="1:5">
      <c r="D39" s="9"/>
    </row>
    <row r="40" spans="1:5">
      <c r="D40" s="9"/>
    </row>
    <row r="41" spans="1:5">
      <c r="D41" s="9"/>
    </row>
    <row r="42" spans="1:5">
      <c r="D42" s="9"/>
    </row>
    <row r="43" spans="1:5">
      <c r="D43" s="9"/>
    </row>
    <row r="44" spans="1:5">
      <c r="D44" s="9"/>
    </row>
    <row r="45" spans="1:5">
      <c r="D45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4713-F718-664F-95A5-8E4E967D23EF}">
  <dimension ref="A1:E45"/>
  <sheetViews>
    <sheetView topLeftCell="A18" workbookViewId="0">
      <selection activeCell="C23" sqref="C23:E23"/>
    </sheetView>
  </sheetViews>
  <sheetFormatPr defaultColWidth="10.625" defaultRowHeight="15.75" customHeight="1"/>
  <cols>
    <col min="1" max="1" width="39.5" customWidth="1"/>
    <col min="8" max="8" width="43.875" bestFit="1" customWidth="1"/>
    <col min="16384" max="16384" width="10.625" bestFit="1" customWidth="1"/>
  </cols>
  <sheetData>
    <row r="1" spans="1:5">
      <c r="A1" t="s">
        <v>50</v>
      </c>
      <c r="B1" t="s">
        <v>51</v>
      </c>
      <c r="C1" t="s">
        <v>52</v>
      </c>
      <c r="D1" s="9" t="s">
        <v>53</v>
      </c>
      <c r="E1" t="s">
        <v>54</v>
      </c>
    </row>
    <row r="2" spans="1:5">
      <c r="A2" s="1" t="s">
        <v>55</v>
      </c>
      <c r="B2">
        <v>0</v>
      </c>
      <c r="D2" s="9">
        <v>0</v>
      </c>
    </row>
    <row r="3" spans="1:5">
      <c r="A3" s="1" t="s">
        <v>56</v>
      </c>
      <c r="B3">
        <v>1</v>
      </c>
      <c r="C3">
        <v>11.5</v>
      </c>
      <c r="D3" s="9">
        <f>(C3-E3)/C3</f>
        <v>0</v>
      </c>
      <c r="E3">
        <v>11.5</v>
      </c>
    </row>
    <row r="4" spans="1:5">
      <c r="A4" s="1" t="s">
        <v>57</v>
      </c>
      <c r="B4">
        <v>1</v>
      </c>
      <c r="C4">
        <v>72</v>
      </c>
      <c r="D4" s="9">
        <f>(C4-E4)/C4</f>
        <v>3.1944444444444407E-2</v>
      </c>
      <c r="E4">
        <v>69.7</v>
      </c>
    </row>
    <row r="5" spans="1:5">
      <c r="A5" s="1" t="s">
        <v>58</v>
      </c>
      <c r="B5">
        <v>1</v>
      </c>
      <c r="C5">
        <v>6</v>
      </c>
      <c r="D5" s="9">
        <f>(C5-E5)/C5</f>
        <v>2.500000000000006E-2</v>
      </c>
      <c r="E5">
        <v>5.85</v>
      </c>
    </row>
    <row r="6" spans="1:5">
      <c r="A6" s="1" t="s">
        <v>59</v>
      </c>
      <c r="B6">
        <v>0</v>
      </c>
      <c r="D6" s="9">
        <v>0</v>
      </c>
    </row>
    <row r="7" spans="1:5">
      <c r="A7" s="1" t="s">
        <v>60</v>
      </c>
      <c r="B7">
        <v>0</v>
      </c>
      <c r="D7" s="9">
        <v>0</v>
      </c>
    </row>
    <row r="8" spans="1:5">
      <c r="A8" s="1" t="s">
        <v>61</v>
      </c>
      <c r="B8">
        <v>0</v>
      </c>
      <c r="D8" s="9">
        <v>0</v>
      </c>
    </row>
    <row r="9" spans="1:5">
      <c r="A9" s="1" t="s">
        <v>62</v>
      </c>
      <c r="B9">
        <v>0</v>
      </c>
      <c r="C9">
        <v>4</v>
      </c>
      <c r="D9" s="9">
        <f>(C9-E9)/C9</f>
        <v>1</v>
      </c>
    </row>
    <row r="10" spans="1:5">
      <c r="A10" s="1" t="s">
        <v>63</v>
      </c>
      <c r="B10">
        <v>1</v>
      </c>
      <c r="C10">
        <v>30</v>
      </c>
      <c r="D10" s="9">
        <f>(C10-E10)/C10</f>
        <v>0.33500000000000002</v>
      </c>
      <c r="E10">
        <v>19.95</v>
      </c>
    </row>
    <row r="11" spans="1:5">
      <c r="A11" s="1" t="s">
        <v>64</v>
      </c>
      <c r="B11">
        <v>1</v>
      </c>
      <c r="C11">
        <v>45</v>
      </c>
      <c r="D11" s="9">
        <f>(C11-E11)/C11</f>
        <v>1.3333333333333365E-2</v>
      </c>
      <c r="E11">
        <v>44.4</v>
      </c>
    </row>
    <row r="12" spans="1:5">
      <c r="A12" s="1" t="s">
        <v>65</v>
      </c>
      <c r="B12">
        <v>0</v>
      </c>
      <c r="C12">
        <v>24.5</v>
      </c>
      <c r="D12" s="9">
        <f>(C12-E12)/C12</f>
        <v>3.0612244897959183E-2</v>
      </c>
      <c r="E12">
        <v>23.75</v>
      </c>
    </row>
    <row r="13" spans="1:5">
      <c r="A13" s="1" t="s">
        <v>66</v>
      </c>
      <c r="B13">
        <v>0</v>
      </c>
      <c r="D13" s="9">
        <v>0</v>
      </c>
    </row>
    <row r="14" spans="1:5">
      <c r="A14" s="1" t="s">
        <v>67</v>
      </c>
      <c r="B14">
        <v>1</v>
      </c>
      <c r="C14">
        <v>2.95</v>
      </c>
      <c r="D14" s="9">
        <f>(C14-E14)/C14</f>
        <v>0</v>
      </c>
      <c r="E14">
        <v>2.95</v>
      </c>
    </row>
    <row r="15" spans="1:5">
      <c r="A15" s="1" t="s">
        <v>68</v>
      </c>
      <c r="B15">
        <v>1</v>
      </c>
      <c r="C15">
        <v>2.5499999999999998</v>
      </c>
      <c r="D15" s="9">
        <f>(C15-E15)/C15</f>
        <v>0</v>
      </c>
      <c r="E15">
        <v>2.5499999999999998</v>
      </c>
    </row>
    <row r="16" spans="1:5">
      <c r="A16" s="1" t="s">
        <v>69</v>
      </c>
      <c r="B16">
        <v>1</v>
      </c>
      <c r="C16">
        <v>15.95</v>
      </c>
      <c r="D16" s="9">
        <f>(C16-E16)/C16</f>
        <v>0.25078369905956116</v>
      </c>
      <c r="E16">
        <v>11.95</v>
      </c>
    </row>
    <row r="17" spans="1:5" ht="15.75" customHeight="1">
      <c r="D17" s="9"/>
    </row>
    <row r="18" spans="1:5">
      <c r="A18" s="7" t="s">
        <v>70</v>
      </c>
      <c r="B18">
        <v>1</v>
      </c>
      <c r="C18">
        <v>6.5</v>
      </c>
      <c r="D18" s="9">
        <f t="shared" ref="D18:D29" si="0">(C18-E18)/C18</f>
        <v>0</v>
      </c>
      <c r="E18">
        <v>6.5</v>
      </c>
    </row>
    <row r="19" spans="1:5">
      <c r="A19" s="7" t="s">
        <v>71</v>
      </c>
      <c r="B19">
        <v>0</v>
      </c>
      <c r="D19" s="9">
        <v>0</v>
      </c>
    </row>
    <row r="20" spans="1:5">
      <c r="A20" s="7" t="s">
        <v>72</v>
      </c>
      <c r="B20">
        <v>0</v>
      </c>
      <c r="D20" s="9">
        <v>0</v>
      </c>
    </row>
    <row r="21" spans="1:5">
      <c r="A21" s="7" t="s">
        <v>73</v>
      </c>
      <c r="B21">
        <v>1</v>
      </c>
      <c r="C21">
        <v>6.5</v>
      </c>
      <c r="D21" s="9">
        <f t="shared" si="0"/>
        <v>0</v>
      </c>
      <c r="E21">
        <v>6.5</v>
      </c>
    </row>
    <row r="22" spans="1:5">
      <c r="A22" s="7" t="s">
        <v>74</v>
      </c>
      <c r="B22">
        <v>0</v>
      </c>
      <c r="D22" s="9">
        <v>0</v>
      </c>
    </row>
    <row r="23" spans="1:5">
      <c r="A23" s="7" t="s">
        <v>75</v>
      </c>
      <c r="B23">
        <v>1</v>
      </c>
      <c r="C23">
        <v>4</v>
      </c>
      <c r="D23" s="9">
        <v>0</v>
      </c>
      <c r="E23">
        <v>4</v>
      </c>
    </row>
    <row r="24" spans="1:5">
      <c r="A24" s="7" t="s">
        <v>76</v>
      </c>
      <c r="B24">
        <v>1</v>
      </c>
      <c r="C24">
        <v>5.9</v>
      </c>
      <c r="D24" s="9">
        <f t="shared" si="0"/>
        <v>0</v>
      </c>
      <c r="E24">
        <v>5.9</v>
      </c>
    </row>
    <row r="25" spans="1:5">
      <c r="A25" s="7" t="s">
        <v>77</v>
      </c>
      <c r="B25">
        <v>0</v>
      </c>
      <c r="D25" s="9">
        <v>0</v>
      </c>
    </row>
    <row r="26" spans="1:5">
      <c r="A26" s="7" t="s">
        <v>78</v>
      </c>
      <c r="B26">
        <v>0</v>
      </c>
      <c r="D26" s="9">
        <v>0</v>
      </c>
    </row>
    <row r="27" spans="1:5">
      <c r="A27" s="7" t="s">
        <v>79</v>
      </c>
      <c r="B27">
        <v>1</v>
      </c>
      <c r="C27">
        <v>8.5</v>
      </c>
      <c r="D27" s="9">
        <f t="shared" si="0"/>
        <v>0.3235294117647059</v>
      </c>
      <c r="E27">
        <v>5.75</v>
      </c>
    </row>
    <row r="28" spans="1:5">
      <c r="A28" s="7" t="s">
        <v>80</v>
      </c>
      <c r="B28">
        <v>1</v>
      </c>
      <c r="C28">
        <v>4.95</v>
      </c>
      <c r="D28" s="9">
        <f t="shared" si="0"/>
        <v>0</v>
      </c>
      <c r="E28">
        <v>4.95</v>
      </c>
    </row>
    <row r="29" spans="1:5">
      <c r="A29" s="7" t="s">
        <v>81</v>
      </c>
      <c r="B29">
        <v>1</v>
      </c>
      <c r="C29">
        <v>17.850000000000001</v>
      </c>
      <c r="D29" s="9">
        <f t="shared" si="0"/>
        <v>0</v>
      </c>
      <c r="E29">
        <v>17.850000000000001</v>
      </c>
    </row>
    <row r="30" spans="1:5">
      <c r="A30" s="7" t="s">
        <v>82</v>
      </c>
      <c r="B30">
        <v>1</v>
      </c>
      <c r="C30">
        <v>9.9499999999999993</v>
      </c>
      <c r="D30" s="9">
        <f>(C30-E30)/C30</f>
        <v>0.15075376884422112</v>
      </c>
      <c r="E30">
        <v>8.4499999999999993</v>
      </c>
    </row>
    <row r="31" spans="1:5">
      <c r="A31" s="8" t="s">
        <v>83</v>
      </c>
      <c r="B31">
        <v>1</v>
      </c>
      <c r="C31">
        <v>5.95</v>
      </c>
      <c r="D31" s="9">
        <f t="shared" ref="D31:D34" si="1">(C31-E31)/C31</f>
        <v>0</v>
      </c>
      <c r="E31">
        <v>5.95</v>
      </c>
    </row>
    <row r="32" spans="1:5">
      <c r="A32" s="7" t="s">
        <v>84</v>
      </c>
      <c r="B32">
        <v>1</v>
      </c>
      <c r="C32">
        <v>5.95</v>
      </c>
      <c r="D32" s="9">
        <f t="shared" si="1"/>
        <v>0</v>
      </c>
      <c r="E32">
        <v>5.95</v>
      </c>
    </row>
    <row r="33" spans="1:5">
      <c r="A33" s="7" t="s">
        <v>85</v>
      </c>
      <c r="B33">
        <v>1</v>
      </c>
      <c r="C33">
        <v>3.5</v>
      </c>
      <c r="D33" s="9">
        <f t="shared" si="1"/>
        <v>0</v>
      </c>
      <c r="E33">
        <v>3.5</v>
      </c>
    </row>
    <row r="34" spans="1:5">
      <c r="A34" s="7" t="s">
        <v>86</v>
      </c>
      <c r="C34">
        <v>13.85</v>
      </c>
      <c r="D34" s="9">
        <f t="shared" si="1"/>
        <v>0</v>
      </c>
      <c r="E34">
        <v>13.85</v>
      </c>
    </row>
    <row r="35" spans="1:5">
      <c r="D35" s="9"/>
    </row>
    <row r="36" spans="1:5" ht="15.75" customHeight="1">
      <c r="D36" s="9"/>
    </row>
    <row r="37" spans="1:5" ht="15.75" customHeight="1">
      <c r="D37" s="9"/>
    </row>
    <row r="38" spans="1:5" ht="15.75" customHeight="1">
      <c r="D38" s="9"/>
    </row>
    <row r="39" spans="1:5" ht="15.75" customHeight="1">
      <c r="D39" s="9"/>
    </row>
    <row r="40" spans="1:5" ht="15.75" customHeight="1">
      <c r="D40" s="9"/>
    </row>
    <row r="41" spans="1:5" ht="15.75" customHeight="1">
      <c r="D41" s="9"/>
    </row>
    <row r="42" spans="1:5" ht="15.75" customHeight="1">
      <c r="D42" s="9"/>
    </row>
    <row r="43" spans="1:5" ht="15.75" customHeight="1">
      <c r="D43" s="9"/>
    </row>
    <row r="44" spans="1:5" ht="15.75" customHeight="1">
      <c r="D44" s="9"/>
    </row>
    <row r="45" spans="1:5" ht="15.75" customHeight="1">
      <c r="D45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99DB-32E9-874B-BEFA-5C6A09BC08B9}">
  <dimension ref="A1:E45"/>
  <sheetViews>
    <sheetView topLeftCell="A21" workbookViewId="0">
      <selection activeCell="C23" sqref="C23:E23"/>
    </sheetView>
  </sheetViews>
  <sheetFormatPr defaultColWidth="10.625" defaultRowHeight="15.95"/>
  <cols>
    <col min="1" max="1" width="41.375" customWidth="1"/>
    <col min="8" max="8" width="43.875" bestFit="1" customWidth="1"/>
  </cols>
  <sheetData>
    <row r="1" spans="1:5">
      <c r="A1" t="s">
        <v>50</v>
      </c>
      <c r="B1" t="s">
        <v>51</v>
      </c>
      <c r="C1" t="s">
        <v>52</v>
      </c>
      <c r="D1" s="9" t="s">
        <v>53</v>
      </c>
      <c r="E1" t="s">
        <v>54</v>
      </c>
    </row>
    <row r="2" spans="1:5">
      <c r="A2" s="1" t="s">
        <v>55</v>
      </c>
      <c r="B2">
        <v>0</v>
      </c>
      <c r="D2" s="9">
        <v>0</v>
      </c>
    </row>
    <row r="3" spans="1:5">
      <c r="A3" s="1" t="s">
        <v>56</v>
      </c>
      <c r="B3">
        <v>1</v>
      </c>
      <c r="C3">
        <v>11.5</v>
      </c>
      <c r="D3" s="9">
        <f>(C3-E3)/C3</f>
        <v>0</v>
      </c>
      <c r="E3">
        <v>11.5</v>
      </c>
    </row>
    <row r="4" spans="1:5">
      <c r="A4" s="1" t="s">
        <v>57</v>
      </c>
      <c r="B4">
        <v>1</v>
      </c>
      <c r="C4">
        <v>72</v>
      </c>
      <c r="D4" s="9">
        <f>(C4-E4)/C4</f>
        <v>3.1944444444444407E-2</v>
      </c>
      <c r="E4">
        <v>69.7</v>
      </c>
    </row>
    <row r="5" spans="1:5">
      <c r="A5" s="1" t="s">
        <v>58</v>
      </c>
      <c r="B5">
        <v>0</v>
      </c>
      <c r="C5">
        <v>6</v>
      </c>
      <c r="D5" s="9">
        <f>(C5-E5)/C5</f>
        <v>2.500000000000006E-2</v>
      </c>
      <c r="E5">
        <v>5.85</v>
      </c>
    </row>
    <row r="6" spans="1:5">
      <c r="A6" s="1" t="s">
        <v>59</v>
      </c>
      <c r="B6">
        <v>0</v>
      </c>
      <c r="D6" s="9">
        <v>0</v>
      </c>
    </row>
    <row r="7" spans="1:5">
      <c r="A7" s="1" t="s">
        <v>60</v>
      </c>
      <c r="B7">
        <v>0</v>
      </c>
      <c r="D7" s="9">
        <v>0</v>
      </c>
    </row>
    <row r="8" spans="1:5">
      <c r="A8" s="1" t="s">
        <v>61</v>
      </c>
      <c r="B8">
        <v>0</v>
      </c>
      <c r="D8" s="9">
        <v>0</v>
      </c>
    </row>
    <row r="9" spans="1:5">
      <c r="A9" s="1" t="s">
        <v>62</v>
      </c>
      <c r="B9">
        <v>0</v>
      </c>
      <c r="C9">
        <v>4</v>
      </c>
      <c r="D9" s="9">
        <f>(C9-E9)/C9</f>
        <v>1</v>
      </c>
    </row>
    <row r="10" spans="1:5">
      <c r="A10" s="1" t="s">
        <v>63</v>
      </c>
      <c r="B10">
        <v>1</v>
      </c>
      <c r="C10">
        <v>30</v>
      </c>
      <c r="D10" s="9">
        <f>(C10-E10)/C10</f>
        <v>0.33500000000000002</v>
      </c>
      <c r="E10">
        <v>19.95</v>
      </c>
    </row>
    <row r="11" spans="1:5">
      <c r="A11" s="1" t="s">
        <v>64</v>
      </c>
      <c r="B11">
        <v>1</v>
      </c>
      <c r="C11">
        <v>45</v>
      </c>
      <c r="D11" s="9">
        <f>(C11-E11)/C11</f>
        <v>1.3333333333333365E-2</v>
      </c>
      <c r="E11">
        <v>44.4</v>
      </c>
    </row>
    <row r="12" spans="1:5">
      <c r="A12" s="1" t="s">
        <v>65</v>
      </c>
      <c r="B12">
        <v>0</v>
      </c>
      <c r="C12">
        <v>24.5</v>
      </c>
      <c r="D12" s="9">
        <f>(C12-E12)/C12</f>
        <v>3.0612244897959183E-2</v>
      </c>
      <c r="E12">
        <v>23.75</v>
      </c>
    </row>
    <row r="13" spans="1:5">
      <c r="A13" s="1" t="s">
        <v>66</v>
      </c>
      <c r="B13">
        <v>0</v>
      </c>
      <c r="D13" s="9">
        <v>0</v>
      </c>
    </row>
    <row r="14" spans="1:5">
      <c r="A14" s="1" t="s">
        <v>67</v>
      </c>
      <c r="B14">
        <v>1</v>
      </c>
      <c r="C14">
        <v>2.95</v>
      </c>
      <c r="D14" s="9">
        <f>(C14-E14)/C14</f>
        <v>0</v>
      </c>
      <c r="E14">
        <v>2.95</v>
      </c>
    </row>
    <row r="15" spans="1:5">
      <c r="A15" s="1" t="s">
        <v>68</v>
      </c>
      <c r="B15">
        <v>1</v>
      </c>
      <c r="C15">
        <v>2.5499999999999998</v>
      </c>
      <c r="D15" s="9">
        <f>(C15-E15)/C15</f>
        <v>0</v>
      </c>
      <c r="E15">
        <v>2.5499999999999998</v>
      </c>
    </row>
    <row r="16" spans="1:5">
      <c r="A16" s="1" t="s">
        <v>69</v>
      </c>
      <c r="B16">
        <v>1</v>
      </c>
      <c r="C16">
        <v>15.95</v>
      </c>
      <c r="D16" s="9">
        <f>(C16-E16)/C16</f>
        <v>0.25078369905956116</v>
      </c>
      <c r="E16">
        <v>11.95</v>
      </c>
    </row>
    <row r="17" spans="1:5">
      <c r="D17" s="9"/>
    </row>
    <row r="18" spans="1:5">
      <c r="A18" s="7" t="s">
        <v>70</v>
      </c>
      <c r="B18">
        <v>0</v>
      </c>
      <c r="C18">
        <v>6.5</v>
      </c>
      <c r="D18" s="9">
        <f t="shared" ref="D18:D29" si="0">(C18-E18)/C18</f>
        <v>0</v>
      </c>
      <c r="E18">
        <v>6.5</v>
      </c>
    </row>
    <row r="19" spans="1:5">
      <c r="A19" s="7" t="s">
        <v>71</v>
      </c>
      <c r="B19">
        <v>0</v>
      </c>
      <c r="D19" s="9">
        <v>0</v>
      </c>
    </row>
    <row r="20" spans="1:5">
      <c r="A20" s="7" t="s">
        <v>72</v>
      </c>
      <c r="B20">
        <v>0</v>
      </c>
      <c r="D20" s="9">
        <v>0</v>
      </c>
    </row>
    <row r="21" spans="1:5">
      <c r="A21" s="7" t="s">
        <v>73</v>
      </c>
      <c r="B21">
        <v>1</v>
      </c>
      <c r="C21">
        <v>6.5</v>
      </c>
      <c r="D21" s="9">
        <f t="shared" si="0"/>
        <v>0</v>
      </c>
      <c r="E21">
        <v>6.5</v>
      </c>
    </row>
    <row r="22" spans="1:5">
      <c r="A22" s="7" t="s">
        <v>74</v>
      </c>
      <c r="B22">
        <v>0</v>
      </c>
      <c r="D22" s="9">
        <v>0</v>
      </c>
    </row>
    <row r="23" spans="1:5">
      <c r="A23" s="7" t="s">
        <v>75</v>
      </c>
      <c r="B23">
        <v>0</v>
      </c>
      <c r="C23">
        <v>4</v>
      </c>
      <c r="D23" s="9">
        <v>0</v>
      </c>
      <c r="E23">
        <v>4</v>
      </c>
    </row>
    <row r="24" spans="1:5">
      <c r="A24" s="7" t="s">
        <v>76</v>
      </c>
      <c r="B24">
        <v>1</v>
      </c>
      <c r="C24">
        <v>5.9</v>
      </c>
      <c r="D24" s="9">
        <f t="shared" si="0"/>
        <v>0</v>
      </c>
      <c r="E24">
        <v>5.9</v>
      </c>
    </row>
    <row r="25" spans="1:5">
      <c r="A25" s="7" t="s">
        <v>77</v>
      </c>
      <c r="B25">
        <v>0</v>
      </c>
      <c r="D25" s="9">
        <v>0</v>
      </c>
    </row>
    <row r="26" spans="1:5">
      <c r="A26" s="7" t="s">
        <v>78</v>
      </c>
      <c r="B26">
        <v>0</v>
      </c>
      <c r="D26" s="9">
        <v>0</v>
      </c>
    </row>
    <row r="27" spans="1:5">
      <c r="A27" s="7" t="s">
        <v>79</v>
      </c>
      <c r="B27">
        <v>1</v>
      </c>
      <c r="C27">
        <v>8.5</v>
      </c>
      <c r="D27" s="9">
        <f t="shared" si="0"/>
        <v>0.3235294117647059</v>
      </c>
      <c r="E27">
        <v>5.75</v>
      </c>
    </row>
    <row r="28" spans="1:5">
      <c r="A28" s="7" t="s">
        <v>80</v>
      </c>
      <c r="B28">
        <v>1</v>
      </c>
      <c r="C28">
        <v>4.95</v>
      </c>
      <c r="D28" s="9">
        <f t="shared" si="0"/>
        <v>0</v>
      </c>
      <c r="E28">
        <v>4.95</v>
      </c>
    </row>
    <row r="29" spans="1:5">
      <c r="A29" s="7" t="s">
        <v>81</v>
      </c>
      <c r="B29">
        <v>1</v>
      </c>
      <c r="C29">
        <v>17.850000000000001</v>
      </c>
      <c r="D29" s="9">
        <f t="shared" si="0"/>
        <v>0</v>
      </c>
      <c r="E29">
        <v>17.850000000000001</v>
      </c>
    </row>
    <row r="30" spans="1:5">
      <c r="A30" s="7" t="s">
        <v>82</v>
      </c>
      <c r="B30">
        <v>1</v>
      </c>
      <c r="C30">
        <v>9.9499999999999993</v>
      </c>
      <c r="D30" s="9">
        <f>(C30-E30)/C30</f>
        <v>0.15075376884422112</v>
      </c>
      <c r="E30">
        <v>8.4499999999999993</v>
      </c>
    </row>
    <row r="31" spans="1:5" ht="15.75">
      <c r="A31" s="8" t="s">
        <v>83</v>
      </c>
      <c r="B31">
        <v>1</v>
      </c>
      <c r="C31">
        <v>5.95</v>
      </c>
      <c r="D31" s="9">
        <f t="shared" ref="D31:D34" si="1">(C31-E31)/C31</f>
        <v>0</v>
      </c>
      <c r="E31">
        <v>5.95</v>
      </c>
    </row>
    <row r="32" spans="1:5">
      <c r="A32" s="7" t="s">
        <v>84</v>
      </c>
      <c r="B32">
        <v>1</v>
      </c>
      <c r="C32">
        <v>5.95</v>
      </c>
      <c r="D32" s="9">
        <f t="shared" si="1"/>
        <v>0</v>
      </c>
      <c r="E32">
        <v>5.95</v>
      </c>
    </row>
    <row r="33" spans="1:5">
      <c r="A33" s="7" t="s">
        <v>85</v>
      </c>
      <c r="B33">
        <v>1</v>
      </c>
      <c r="C33">
        <v>3.5</v>
      </c>
      <c r="D33" s="9">
        <f t="shared" si="1"/>
        <v>0</v>
      </c>
      <c r="E33">
        <v>3.5</v>
      </c>
    </row>
    <row r="34" spans="1:5">
      <c r="A34" s="7" t="s">
        <v>86</v>
      </c>
      <c r="B34">
        <v>1</v>
      </c>
      <c r="C34">
        <v>13.85</v>
      </c>
      <c r="D34" s="9">
        <f t="shared" si="1"/>
        <v>0</v>
      </c>
      <c r="E34">
        <v>13.85</v>
      </c>
    </row>
    <row r="35" spans="1:5" ht="15.75">
      <c r="D35" s="9"/>
    </row>
    <row r="36" spans="1:5">
      <c r="D36" s="9"/>
    </row>
    <row r="37" spans="1:5">
      <c r="D37" s="9"/>
    </row>
    <row r="38" spans="1:5">
      <c r="D38" s="9"/>
    </row>
    <row r="39" spans="1:5">
      <c r="D39" s="9"/>
    </row>
    <row r="40" spans="1:5">
      <c r="D40" s="9"/>
    </row>
    <row r="41" spans="1:5">
      <c r="D41" s="9"/>
    </row>
    <row r="42" spans="1:5">
      <c r="D42" s="9"/>
    </row>
    <row r="43" spans="1:5">
      <c r="D43" s="9"/>
    </row>
    <row r="44" spans="1:5">
      <c r="D44" s="9"/>
    </row>
    <row r="45" spans="1:5">
      <c r="D45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A6BA-62C2-CD49-894E-AB2C0F5CEAD4}">
  <dimension ref="A1:E45"/>
  <sheetViews>
    <sheetView topLeftCell="A21" workbookViewId="0">
      <selection activeCell="C23" sqref="C23:E23"/>
    </sheetView>
  </sheetViews>
  <sheetFormatPr defaultColWidth="10.625" defaultRowHeight="15.95"/>
  <cols>
    <col min="1" max="1" width="43.125" customWidth="1"/>
    <col min="8" max="8" width="43.875" bestFit="1" customWidth="1"/>
  </cols>
  <sheetData>
    <row r="1" spans="1:5">
      <c r="A1" t="s">
        <v>50</v>
      </c>
      <c r="B1" t="s">
        <v>51</v>
      </c>
      <c r="C1" t="s">
        <v>52</v>
      </c>
      <c r="D1" s="9" t="s">
        <v>53</v>
      </c>
      <c r="E1" t="s">
        <v>54</v>
      </c>
    </row>
    <row r="2" spans="1:5" ht="15.75">
      <c r="A2" s="1" t="s">
        <v>55</v>
      </c>
      <c r="B2">
        <v>0</v>
      </c>
      <c r="D2" s="9">
        <v>0</v>
      </c>
    </row>
    <row r="3" spans="1:5" ht="15.75">
      <c r="A3" s="1" t="s">
        <v>56</v>
      </c>
      <c r="B3">
        <v>1</v>
      </c>
      <c r="C3">
        <v>11.5</v>
      </c>
      <c r="D3" s="9">
        <f>(C3-E3)/C3</f>
        <v>0</v>
      </c>
      <c r="E3">
        <v>11.5</v>
      </c>
    </row>
    <row r="4" spans="1:5" ht="15.75">
      <c r="A4" s="1" t="s">
        <v>57</v>
      </c>
      <c r="B4">
        <v>1</v>
      </c>
      <c r="C4">
        <v>72</v>
      </c>
      <c r="D4" s="9">
        <f>(C4-E4)/C4</f>
        <v>3.1944444444444407E-2</v>
      </c>
      <c r="E4">
        <v>69.7</v>
      </c>
    </row>
    <row r="5" spans="1:5" ht="15.75">
      <c r="A5" s="1" t="s">
        <v>58</v>
      </c>
      <c r="B5">
        <v>1</v>
      </c>
      <c r="C5">
        <v>6</v>
      </c>
      <c r="D5" s="9">
        <f>(C5-E5)/C5</f>
        <v>2.500000000000006E-2</v>
      </c>
      <c r="E5">
        <v>5.85</v>
      </c>
    </row>
    <row r="6" spans="1:5" ht="15.75">
      <c r="A6" s="1" t="s">
        <v>59</v>
      </c>
      <c r="B6">
        <v>0</v>
      </c>
      <c r="D6" s="9">
        <v>0</v>
      </c>
    </row>
    <row r="7" spans="1:5" ht="15.75">
      <c r="A7" s="1" t="s">
        <v>60</v>
      </c>
      <c r="B7">
        <v>0</v>
      </c>
      <c r="D7" s="9">
        <v>0</v>
      </c>
    </row>
    <row r="8" spans="1:5" ht="15.75">
      <c r="A8" s="1" t="s">
        <v>61</v>
      </c>
      <c r="B8">
        <v>0</v>
      </c>
      <c r="D8" s="9">
        <v>0</v>
      </c>
    </row>
    <row r="9" spans="1:5" ht="15.75">
      <c r="A9" s="1" t="s">
        <v>62</v>
      </c>
      <c r="B9">
        <v>0</v>
      </c>
      <c r="C9">
        <v>4</v>
      </c>
      <c r="D9" s="9">
        <f>(C9-E9)/C9</f>
        <v>1</v>
      </c>
    </row>
    <row r="10" spans="1:5" ht="15.75">
      <c r="A10" s="1" t="s">
        <v>63</v>
      </c>
      <c r="B10">
        <v>1</v>
      </c>
      <c r="C10">
        <v>30</v>
      </c>
      <c r="D10" s="9">
        <f>(C10-E10)/C10</f>
        <v>0.33500000000000002</v>
      </c>
      <c r="E10">
        <v>19.95</v>
      </c>
    </row>
    <row r="11" spans="1:5" ht="15.75">
      <c r="A11" s="1" t="s">
        <v>64</v>
      </c>
      <c r="B11">
        <v>1</v>
      </c>
      <c r="C11">
        <v>45</v>
      </c>
      <c r="D11" s="9">
        <f>(C11-E11)/C11</f>
        <v>1.3333333333333365E-2</v>
      </c>
      <c r="E11">
        <v>44.4</v>
      </c>
    </row>
    <row r="12" spans="1:5" ht="15.75">
      <c r="A12" s="1" t="s">
        <v>65</v>
      </c>
      <c r="B12">
        <v>0</v>
      </c>
      <c r="C12">
        <v>24.5</v>
      </c>
      <c r="D12" s="9">
        <f>(C12-E12)/C12</f>
        <v>3.0612244897959183E-2</v>
      </c>
      <c r="E12">
        <v>23.75</v>
      </c>
    </row>
    <row r="13" spans="1:5" ht="15.75">
      <c r="A13" s="1" t="s">
        <v>66</v>
      </c>
      <c r="B13">
        <v>0</v>
      </c>
      <c r="D13" s="9">
        <v>0</v>
      </c>
    </row>
    <row r="14" spans="1:5" ht="15.75">
      <c r="A14" s="1" t="s">
        <v>67</v>
      </c>
      <c r="B14">
        <v>1</v>
      </c>
      <c r="C14">
        <v>2.95</v>
      </c>
      <c r="D14" s="9">
        <f>(C14-E14)/C14</f>
        <v>0</v>
      </c>
      <c r="E14">
        <v>2.95</v>
      </c>
    </row>
    <row r="15" spans="1:5" ht="15.75">
      <c r="A15" s="1" t="s">
        <v>68</v>
      </c>
      <c r="B15">
        <v>1</v>
      </c>
      <c r="C15">
        <v>2.5499999999999998</v>
      </c>
      <c r="D15" s="9">
        <f>(C15-E15)/C15</f>
        <v>0</v>
      </c>
      <c r="E15">
        <v>2.5499999999999998</v>
      </c>
    </row>
    <row r="16" spans="1:5" ht="15.75">
      <c r="A16" s="1" t="s">
        <v>69</v>
      </c>
      <c r="B16">
        <v>1</v>
      </c>
      <c r="C16">
        <v>15.95</v>
      </c>
      <c r="D16" s="9">
        <f>(C16-E16)/C16</f>
        <v>0.25078369905956116</v>
      </c>
      <c r="E16">
        <v>11.95</v>
      </c>
    </row>
    <row r="17" spans="1:5">
      <c r="D17" s="9"/>
    </row>
    <row r="18" spans="1:5">
      <c r="A18" s="7" t="s">
        <v>70</v>
      </c>
      <c r="B18">
        <v>1</v>
      </c>
      <c r="C18">
        <v>6.5</v>
      </c>
      <c r="D18" s="9">
        <f t="shared" ref="D18:D29" si="0">(C18-E18)/C18</f>
        <v>0</v>
      </c>
      <c r="E18">
        <v>6.5</v>
      </c>
    </row>
    <row r="19" spans="1:5">
      <c r="A19" s="7" t="s">
        <v>71</v>
      </c>
      <c r="B19">
        <v>0</v>
      </c>
      <c r="D19" s="9">
        <v>0</v>
      </c>
    </row>
    <row r="20" spans="1:5">
      <c r="A20" s="7" t="s">
        <v>72</v>
      </c>
      <c r="B20">
        <v>0</v>
      </c>
      <c r="D20" s="9">
        <v>0</v>
      </c>
    </row>
    <row r="21" spans="1:5">
      <c r="A21" s="7" t="s">
        <v>73</v>
      </c>
      <c r="B21">
        <v>1</v>
      </c>
      <c r="C21">
        <v>6.5</v>
      </c>
      <c r="D21" s="9">
        <f t="shared" si="0"/>
        <v>0</v>
      </c>
      <c r="E21">
        <v>6.5</v>
      </c>
    </row>
    <row r="22" spans="1:5">
      <c r="A22" s="7" t="s">
        <v>74</v>
      </c>
      <c r="B22">
        <v>0</v>
      </c>
      <c r="D22" s="9">
        <v>0</v>
      </c>
    </row>
    <row r="23" spans="1:5">
      <c r="A23" s="7" t="s">
        <v>75</v>
      </c>
      <c r="B23">
        <v>0</v>
      </c>
      <c r="C23">
        <v>4</v>
      </c>
      <c r="D23" s="9">
        <v>0</v>
      </c>
      <c r="E23">
        <v>4</v>
      </c>
    </row>
    <row r="24" spans="1:5">
      <c r="A24" s="7" t="s">
        <v>76</v>
      </c>
      <c r="B24">
        <v>1</v>
      </c>
      <c r="C24">
        <v>5.9</v>
      </c>
      <c r="D24" s="9">
        <f t="shared" si="0"/>
        <v>0</v>
      </c>
      <c r="E24">
        <v>5.9</v>
      </c>
    </row>
    <row r="25" spans="1:5">
      <c r="A25" s="7" t="s">
        <v>77</v>
      </c>
      <c r="B25">
        <v>0</v>
      </c>
      <c r="D25" s="9">
        <v>0</v>
      </c>
    </row>
    <row r="26" spans="1:5">
      <c r="A26" s="7" t="s">
        <v>78</v>
      </c>
      <c r="B26">
        <v>0</v>
      </c>
      <c r="D26" s="9">
        <v>0</v>
      </c>
    </row>
    <row r="27" spans="1:5">
      <c r="A27" s="7" t="s">
        <v>79</v>
      </c>
      <c r="B27">
        <v>1</v>
      </c>
      <c r="C27">
        <v>8.5</v>
      </c>
      <c r="D27" s="9">
        <f t="shared" si="0"/>
        <v>0.3235294117647059</v>
      </c>
      <c r="E27">
        <v>5.75</v>
      </c>
    </row>
    <row r="28" spans="1:5">
      <c r="A28" s="7" t="s">
        <v>80</v>
      </c>
      <c r="B28">
        <v>1</v>
      </c>
      <c r="C28">
        <v>4.95</v>
      </c>
      <c r="D28" s="9">
        <f t="shared" si="0"/>
        <v>0</v>
      </c>
      <c r="E28">
        <v>4.95</v>
      </c>
    </row>
    <row r="29" spans="1:5">
      <c r="A29" s="7" t="s">
        <v>81</v>
      </c>
      <c r="B29">
        <v>1</v>
      </c>
      <c r="C29">
        <v>17.850000000000001</v>
      </c>
      <c r="D29" s="9">
        <f t="shared" si="0"/>
        <v>0</v>
      </c>
      <c r="E29">
        <v>17.850000000000001</v>
      </c>
    </row>
    <row r="30" spans="1:5">
      <c r="A30" s="7" t="s">
        <v>82</v>
      </c>
      <c r="B30">
        <v>1</v>
      </c>
      <c r="C30">
        <v>9.9499999999999993</v>
      </c>
      <c r="D30" s="9">
        <f>(C30-E30)/C30</f>
        <v>0.15075376884422112</v>
      </c>
      <c r="E30">
        <v>8.4499999999999993</v>
      </c>
    </row>
    <row r="31" spans="1:5" ht="15.75">
      <c r="A31" s="8" t="s">
        <v>83</v>
      </c>
      <c r="B31">
        <v>1</v>
      </c>
      <c r="C31">
        <v>5.95</v>
      </c>
      <c r="D31" s="9">
        <f t="shared" ref="D31:D34" si="1">(C31-E31)/C31</f>
        <v>0</v>
      </c>
      <c r="E31">
        <v>5.95</v>
      </c>
    </row>
    <row r="32" spans="1:5">
      <c r="A32" s="7" t="s">
        <v>84</v>
      </c>
      <c r="B32">
        <v>1</v>
      </c>
      <c r="C32">
        <v>5.95</v>
      </c>
      <c r="D32" s="9">
        <f t="shared" si="1"/>
        <v>0</v>
      </c>
      <c r="E32">
        <v>5.95</v>
      </c>
    </row>
    <row r="33" spans="1:5">
      <c r="A33" s="7" t="s">
        <v>85</v>
      </c>
      <c r="B33">
        <v>1</v>
      </c>
      <c r="C33">
        <v>3.5</v>
      </c>
      <c r="D33" s="9">
        <f t="shared" si="1"/>
        <v>0</v>
      </c>
      <c r="E33">
        <v>3.5</v>
      </c>
    </row>
    <row r="34" spans="1:5">
      <c r="A34" s="7" t="s">
        <v>86</v>
      </c>
      <c r="B34">
        <v>1</v>
      </c>
      <c r="C34">
        <v>13.85</v>
      </c>
      <c r="D34" s="9">
        <f t="shared" si="1"/>
        <v>0</v>
      </c>
      <c r="E34">
        <v>13.85</v>
      </c>
    </row>
    <row r="35" spans="1:5" ht="15.75">
      <c r="D35" s="9"/>
    </row>
    <row r="36" spans="1:5">
      <c r="D36" s="9"/>
    </row>
    <row r="37" spans="1:5">
      <c r="D37" s="9"/>
    </row>
    <row r="38" spans="1:5">
      <c r="D38" s="9"/>
    </row>
    <row r="39" spans="1:5">
      <c r="D39" s="9"/>
    </row>
    <row r="40" spans="1:5">
      <c r="D40" s="9"/>
    </row>
    <row r="41" spans="1:5">
      <c r="D41" s="9"/>
    </row>
    <row r="42" spans="1:5">
      <c r="D42" s="9"/>
    </row>
    <row r="43" spans="1:5">
      <c r="D43" s="9"/>
    </row>
    <row r="44" spans="1:5">
      <c r="D44" s="9"/>
    </row>
    <row r="45" spans="1:5">
      <c r="D45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A013-70C3-0C44-A2CF-03D74315F5CD}">
  <dimension ref="A1:E45"/>
  <sheetViews>
    <sheetView workbookViewId="0">
      <selection activeCell="C23" sqref="C23:E23"/>
    </sheetView>
  </sheetViews>
  <sheetFormatPr defaultColWidth="10.625" defaultRowHeight="15.95"/>
  <cols>
    <col min="1" max="1" width="43.125" customWidth="1"/>
    <col min="8" max="8" width="43.875" bestFit="1" customWidth="1"/>
  </cols>
  <sheetData>
    <row r="1" spans="1:5">
      <c r="A1" t="s">
        <v>50</v>
      </c>
      <c r="B1" t="s">
        <v>51</v>
      </c>
      <c r="C1" t="s">
        <v>52</v>
      </c>
      <c r="D1" s="9" t="s">
        <v>53</v>
      </c>
      <c r="E1" t="s">
        <v>54</v>
      </c>
    </row>
    <row r="2" spans="1:5" ht="15.75">
      <c r="A2" s="1" t="s">
        <v>55</v>
      </c>
      <c r="B2">
        <v>0</v>
      </c>
      <c r="D2" s="9">
        <v>0</v>
      </c>
    </row>
    <row r="3" spans="1:5" ht="15.75">
      <c r="A3" s="1" t="s">
        <v>56</v>
      </c>
      <c r="B3">
        <v>1</v>
      </c>
      <c r="C3">
        <v>11.5</v>
      </c>
      <c r="D3" s="9">
        <f>(C3-E3)/C3</f>
        <v>0</v>
      </c>
      <c r="E3">
        <v>11.5</v>
      </c>
    </row>
    <row r="4" spans="1:5" ht="15.75">
      <c r="A4" s="1" t="s">
        <v>57</v>
      </c>
      <c r="B4">
        <v>1</v>
      </c>
      <c r="C4">
        <v>72</v>
      </c>
      <c r="D4" s="9">
        <f>(C4-E4)/C4</f>
        <v>3.1944444444444407E-2</v>
      </c>
      <c r="E4">
        <v>69.7</v>
      </c>
    </row>
    <row r="5" spans="1:5" ht="15.75">
      <c r="A5" s="1" t="s">
        <v>58</v>
      </c>
      <c r="B5">
        <v>0</v>
      </c>
      <c r="C5">
        <v>6</v>
      </c>
      <c r="D5" s="9">
        <f>(C5-E5)/C5</f>
        <v>2.500000000000006E-2</v>
      </c>
      <c r="E5">
        <v>5.85</v>
      </c>
    </row>
    <row r="6" spans="1:5" ht="15.75">
      <c r="A6" s="1" t="s">
        <v>59</v>
      </c>
      <c r="B6">
        <v>0</v>
      </c>
      <c r="D6" s="9">
        <v>0</v>
      </c>
    </row>
    <row r="7" spans="1:5" ht="15.75">
      <c r="A7" s="1" t="s">
        <v>60</v>
      </c>
      <c r="B7">
        <v>0</v>
      </c>
      <c r="D7" s="9">
        <v>0</v>
      </c>
    </row>
    <row r="8" spans="1:5" ht="15.75">
      <c r="A8" s="1" t="s">
        <v>61</v>
      </c>
      <c r="B8">
        <v>0</v>
      </c>
      <c r="D8" s="9">
        <v>0</v>
      </c>
    </row>
    <row r="9" spans="1:5" ht="15.75">
      <c r="A9" s="1" t="s">
        <v>62</v>
      </c>
      <c r="B9">
        <v>0</v>
      </c>
      <c r="C9">
        <v>4</v>
      </c>
      <c r="D9" s="9">
        <f>(C9-E9)/C9</f>
        <v>1</v>
      </c>
    </row>
    <row r="10" spans="1:5" ht="15.75">
      <c r="A10" s="1" t="s">
        <v>63</v>
      </c>
      <c r="B10">
        <v>1</v>
      </c>
      <c r="C10">
        <v>30</v>
      </c>
      <c r="D10" s="9">
        <f>(C10-E10)/C10</f>
        <v>0.33500000000000002</v>
      </c>
      <c r="E10">
        <v>19.95</v>
      </c>
    </row>
    <row r="11" spans="1:5" ht="15.75">
      <c r="A11" s="1" t="s">
        <v>64</v>
      </c>
      <c r="B11">
        <v>1</v>
      </c>
      <c r="C11">
        <v>45</v>
      </c>
      <c r="D11" s="9">
        <f>(C11-E11)/C11</f>
        <v>1.3333333333333365E-2</v>
      </c>
      <c r="E11">
        <v>44.4</v>
      </c>
    </row>
    <row r="12" spans="1:5" ht="15.75">
      <c r="A12" s="1" t="s">
        <v>65</v>
      </c>
      <c r="B12">
        <v>0</v>
      </c>
      <c r="C12">
        <v>24.5</v>
      </c>
      <c r="D12" s="9">
        <f>(C12-E12)/C12</f>
        <v>3.0612244897959183E-2</v>
      </c>
      <c r="E12">
        <v>23.75</v>
      </c>
    </row>
    <row r="13" spans="1:5" ht="15.75">
      <c r="A13" s="1" t="s">
        <v>66</v>
      </c>
      <c r="B13">
        <v>0</v>
      </c>
      <c r="D13" s="9">
        <v>0</v>
      </c>
    </row>
    <row r="14" spans="1:5" ht="15.75">
      <c r="A14" s="1" t="s">
        <v>67</v>
      </c>
      <c r="B14">
        <v>1</v>
      </c>
      <c r="C14">
        <v>2.95</v>
      </c>
      <c r="D14" s="9">
        <f>(C14-E14)/C14</f>
        <v>0</v>
      </c>
      <c r="E14">
        <v>2.95</v>
      </c>
    </row>
    <row r="15" spans="1:5" ht="15.75">
      <c r="A15" s="1" t="s">
        <v>68</v>
      </c>
      <c r="B15">
        <v>0</v>
      </c>
      <c r="C15">
        <v>2.5499999999999998</v>
      </c>
      <c r="D15" s="9">
        <f>(C15-E15)/C15</f>
        <v>0</v>
      </c>
      <c r="E15">
        <v>2.5499999999999998</v>
      </c>
    </row>
    <row r="16" spans="1:5" ht="15.75">
      <c r="A16" s="1" t="s">
        <v>69</v>
      </c>
      <c r="B16">
        <v>0</v>
      </c>
      <c r="C16">
        <v>15.95</v>
      </c>
      <c r="D16" s="9">
        <f>(C16-E16)/C16</f>
        <v>0.25078369905956116</v>
      </c>
      <c r="E16">
        <v>11.95</v>
      </c>
    </row>
    <row r="17" spans="1:5">
      <c r="D17" s="9"/>
    </row>
    <row r="18" spans="1:5">
      <c r="A18" s="7" t="s">
        <v>70</v>
      </c>
      <c r="B18">
        <v>1</v>
      </c>
      <c r="C18">
        <v>6.5</v>
      </c>
      <c r="D18" s="9">
        <f t="shared" ref="D18:D29" si="0">(C18-E18)/C18</f>
        <v>0</v>
      </c>
      <c r="E18">
        <v>6.5</v>
      </c>
    </row>
    <row r="19" spans="1:5">
      <c r="A19" s="7" t="s">
        <v>71</v>
      </c>
      <c r="B19">
        <v>0</v>
      </c>
      <c r="D19" s="9">
        <v>0</v>
      </c>
    </row>
    <row r="20" spans="1:5">
      <c r="A20" s="7" t="s">
        <v>72</v>
      </c>
      <c r="B20">
        <v>0</v>
      </c>
      <c r="D20" s="9">
        <v>0</v>
      </c>
    </row>
    <row r="21" spans="1:5">
      <c r="A21" s="7" t="s">
        <v>73</v>
      </c>
      <c r="B21">
        <v>1</v>
      </c>
      <c r="C21">
        <v>6.5</v>
      </c>
      <c r="D21" s="9">
        <f t="shared" si="0"/>
        <v>0</v>
      </c>
      <c r="E21">
        <v>6.5</v>
      </c>
    </row>
    <row r="22" spans="1:5">
      <c r="A22" s="7" t="s">
        <v>74</v>
      </c>
      <c r="B22">
        <v>0</v>
      </c>
      <c r="D22" s="9">
        <v>0</v>
      </c>
    </row>
    <row r="23" spans="1:5">
      <c r="A23" s="7" t="s">
        <v>75</v>
      </c>
      <c r="B23">
        <v>1</v>
      </c>
      <c r="C23">
        <v>4</v>
      </c>
      <c r="D23" s="9">
        <v>0</v>
      </c>
      <c r="E23">
        <v>4</v>
      </c>
    </row>
    <row r="24" spans="1:5">
      <c r="A24" s="7" t="s">
        <v>76</v>
      </c>
      <c r="B24">
        <v>1</v>
      </c>
      <c r="C24">
        <v>5.9</v>
      </c>
      <c r="D24" s="9">
        <f t="shared" si="0"/>
        <v>0</v>
      </c>
      <c r="E24">
        <v>5.9</v>
      </c>
    </row>
    <row r="25" spans="1:5">
      <c r="A25" s="7" t="s">
        <v>77</v>
      </c>
      <c r="B25">
        <v>0</v>
      </c>
      <c r="D25" s="9">
        <v>0</v>
      </c>
    </row>
    <row r="26" spans="1:5">
      <c r="A26" s="7" t="s">
        <v>78</v>
      </c>
      <c r="B26">
        <v>0</v>
      </c>
      <c r="D26" s="9">
        <v>0</v>
      </c>
    </row>
    <row r="27" spans="1:5">
      <c r="A27" s="7" t="s">
        <v>79</v>
      </c>
      <c r="B27">
        <v>1</v>
      </c>
      <c r="C27">
        <v>8.5</v>
      </c>
      <c r="D27" s="9">
        <f t="shared" si="0"/>
        <v>0.3235294117647059</v>
      </c>
      <c r="E27">
        <v>5.75</v>
      </c>
    </row>
    <row r="28" spans="1:5">
      <c r="A28" s="7" t="s">
        <v>80</v>
      </c>
      <c r="B28">
        <v>1</v>
      </c>
      <c r="C28">
        <v>4.95</v>
      </c>
      <c r="D28" s="9">
        <f t="shared" si="0"/>
        <v>0</v>
      </c>
      <c r="E28">
        <v>4.95</v>
      </c>
    </row>
    <row r="29" spans="1:5">
      <c r="A29" s="7" t="s">
        <v>81</v>
      </c>
      <c r="B29">
        <v>1</v>
      </c>
      <c r="C29">
        <v>17.850000000000001</v>
      </c>
      <c r="D29" s="9">
        <f t="shared" si="0"/>
        <v>0</v>
      </c>
      <c r="E29">
        <v>17.850000000000001</v>
      </c>
    </row>
    <row r="30" spans="1:5">
      <c r="A30" s="7" t="s">
        <v>82</v>
      </c>
      <c r="B30">
        <v>1</v>
      </c>
      <c r="C30">
        <v>9.9499999999999993</v>
      </c>
      <c r="D30" s="9">
        <f>(C30-E30)/C30</f>
        <v>0.15075376884422112</v>
      </c>
      <c r="E30">
        <v>8.4499999999999993</v>
      </c>
    </row>
    <row r="31" spans="1:5" ht="15.75">
      <c r="A31" s="8" t="s">
        <v>83</v>
      </c>
      <c r="B31">
        <v>0</v>
      </c>
      <c r="C31">
        <v>5.95</v>
      </c>
      <c r="D31" s="9">
        <f t="shared" ref="D31:D34" si="1">(C31-E31)/C31</f>
        <v>0</v>
      </c>
      <c r="E31">
        <v>5.95</v>
      </c>
    </row>
    <row r="32" spans="1:5">
      <c r="A32" s="7" t="s">
        <v>84</v>
      </c>
      <c r="B32">
        <v>1</v>
      </c>
      <c r="C32">
        <v>5.95</v>
      </c>
      <c r="D32" s="9">
        <f t="shared" si="1"/>
        <v>0</v>
      </c>
      <c r="E32">
        <v>5.95</v>
      </c>
    </row>
    <row r="33" spans="1:5">
      <c r="A33" s="7" t="s">
        <v>85</v>
      </c>
      <c r="B33">
        <v>1</v>
      </c>
      <c r="C33">
        <v>3.5</v>
      </c>
      <c r="D33" s="9">
        <f t="shared" si="1"/>
        <v>0</v>
      </c>
      <c r="E33">
        <v>3.5</v>
      </c>
    </row>
    <row r="34" spans="1:5">
      <c r="A34" s="7" t="s">
        <v>86</v>
      </c>
      <c r="B34">
        <v>1</v>
      </c>
      <c r="C34">
        <v>13.85</v>
      </c>
      <c r="D34" s="9">
        <f t="shared" si="1"/>
        <v>0</v>
      </c>
      <c r="E34">
        <v>13.85</v>
      </c>
    </row>
    <row r="35" spans="1:5" ht="15.75">
      <c r="D35" s="9"/>
    </row>
    <row r="36" spans="1:5" ht="15.75">
      <c r="D36" s="9"/>
    </row>
    <row r="37" spans="1:5" ht="15.75">
      <c r="D37" s="9"/>
    </row>
    <row r="38" spans="1:5" ht="15.75">
      <c r="D38" s="9"/>
    </row>
    <row r="39" spans="1:5" ht="15.75">
      <c r="D39" s="9"/>
    </row>
    <row r="40" spans="1:5">
      <c r="D40" s="9"/>
    </row>
    <row r="41" spans="1:5" ht="15.75">
      <c r="D41" s="9"/>
    </row>
    <row r="42" spans="1:5">
      <c r="D42" s="9"/>
    </row>
    <row r="43" spans="1:5">
      <c r="D43" s="9"/>
    </row>
    <row r="44" spans="1:5">
      <c r="D44" s="9"/>
    </row>
    <row r="45" spans="1:5">
      <c r="D45" s="9"/>
    </row>
  </sheetData>
  <autoFilter ref="A1:E12" xr:uid="{A40AA013-70C3-0C44-A2CF-03D74315F5CD}">
    <sortState xmlns:xlrd2="http://schemas.microsoft.com/office/spreadsheetml/2017/richdata2" ref="A2:E12">
      <sortCondition ref="A1:A1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9FF4-66E2-CC43-8820-84FA4205F09A}">
  <dimension ref="A1:E38"/>
  <sheetViews>
    <sheetView workbookViewId="0">
      <selection activeCell="C23" sqref="C23:E23"/>
    </sheetView>
  </sheetViews>
  <sheetFormatPr defaultColWidth="10.625" defaultRowHeight="15.75" customHeight="1"/>
  <cols>
    <col min="1" max="1" width="43" customWidth="1"/>
    <col min="7" max="7" width="43.875" bestFit="1" customWidth="1"/>
    <col min="16384" max="16384" width="10.625" bestFit="1" customWidth="1"/>
  </cols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s="1" t="s">
        <v>55</v>
      </c>
      <c r="B2">
        <v>0</v>
      </c>
      <c r="D2" s="9">
        <v>0</v>
      </c>
    </row>
    <row r="3" spans="1:5">
      <c r="A3" s="1" t="s">
        <v>56</v>
      </c>
      <c r="B3">
        <v>1</v>
      </c>
      <c r="C3">
        <v>11.5</v>
      </c>
      <c r="D3" s="9">
        <f t="shared" ref="D2:D16" si="0">(C3-E3)/C3</f>
        <v>0</v>
      </c>
      <c r="E3">
        <v>11.5</v>
      </c>
    </row>
    <row r="4" spans="1:5">
      <c r="A4" s="1" t="s">
        <v>57</v>
      </c>
      <c r="B4">
        <v>0</v>
      </c>
      <c r="C4">
        <v>72</v>
      </c>
      <c r="D4" s="9">
        <f t="shared" si="0"/>
        <v>3.1944444444444407E-2</v>
      </c>
      <c r="E4">
        <v>69.7</v>
      </c>
    </row>
    <row r="5" spans="1:5">
      <c r="A5" s="1" t="s">
        <v>58</v>
      </c>
      <c r="B5">
        <v>1</v>
      </c>
      <c r="C5">
        <v>6</v>
      </c>
      <c r="D5" s="9">
        <f t="shared" si="0"/>
        <v>2.500000000000006E-2</v>
      </c>
      <c r="E5">
        <v>5.85</v>
      </c>
    </row>
    <row r="6" spans="1:5">
      <c r="A6" s="1" t="s">
        <v>59</v>
      </c>
      <c r="B6">
        <v>0</v>
      </c>
      <c r="D6" s="9">
        <v>0</v>
      </c>
    </row>
    <row r="7" spans="1:5">
      <c r="A7" s="1" t="s">
        <v>60</v>
      </c>
      <c r="B7">
        <v>0</v>
      </c>
      <c r="D7" s="9">
        <v>0</v>
      </c>
    </row>
    <row r="8" spans="1:5">
      <c r="A8" s="1" t="s">
        <v>61</v>
      </c>
      <c r="B8">
        <v>0</v>
      </c>
      <c r="D8" s="9">
        <v>0</v>
      </c>
    </row>
    <row r="9" spans="1:5">
      <c r="A9" s="1" t="s">
        <v>62</v>
      </c>
      <c r="B9">
        <v>1</v>
      </c>
      <c r="C9">
        <v>4</v>
      </c>
      <c r="D9" s="9">
        <f t="shared" si="0"/>
        <v>1</v>
      </c>
    </row>
    <row r="10" spans="1:5">
      <c r="A10" s="1" t="s">
        <v>63</v>
      </c>
      <c r="B10">
        <v>0</v>
      </c>
      <c r="C10">
        <v>30</v>
      </c>
      <c r="D10" s="9">
        <f t="shared" si="0"/>
        <v>0.33500000000000002</v>
      </c>
      <c r="E10">
        <v>19.95</v>
      </c>
    </row>
    <row r="11" spans="1:5">
      <c r="A11" s="1" t="s">
        <v>64</v>
      </c>
      <c r="B11">
        <v>1</v>
      </c>
      <c r="C11">
        <v>45</v>
      </c>
      <c r="D11" s="9">
        <f t="shared" si="0"/>
        <v>1.3333333333333365E-2</v>
      </c>
      <c r="E11">
        <v>44.4</v>
      </c>
    </row>
    <row r="12" spans="1:5">
      <c r="A12" s="1" t="s">
        <v>65</v>
      </c>
      <c r="B12">
        <v>0</v>
      </c>
      <c r="C12">
        <v>24.5</v>
      </c>
      <c r="D12" s="9">
        <f t="shared" si="0"/>
        <v>3.0612244897959183E-2</v>
      </c>
      <c r="E12">
        <v>23.75</v>
      </c>
    </row>
    <row r="13" spans="1:5">
      <c r="A13" s="1" t="s">
        <v>66</v>
      </c>
      <c r="B13">
        <v>0</v>
      </c>
      <c r="D13" s="9">
        <v>0</v>
      </c>
    </row>
    <row r="14" spans="1:5">
      <c r="A14" s="1" t="s">
        <v>67</v>
      </c>
      <c r="B14">
        <v>1</v>
      </c>
      <c r="C14">
        <v>2.95</v>
      </c>
      <c r="D14" s="9">
        <f t="shared" si="0"/>
        <v>0</v>
      </c>
      <c r="E14">
        <v>2.95</v>
      </c>
    </row>
    <row r="15" spans="1:5">
      <c r="A15" s="1" t="s">
        <v>68</v>
      </c>
      <c r="B15">
        <v>1</v>
      </c>
      <c r="C15">
        <v>2.5499999999999998</v>
      </c>
      <c r="D15" s="9">
        <f t="shared" si="0"/>
        <v>0</v>
      </c>
      <c r="E15">
        <v>2.5499999999999998</v>
      </c>
    </row>
    <row r="16" spans="1:5">
      <c r="A16" s="1" t="s">
        <v>69</v>
      </c>
      <c r="B16">
        <v>1</v>
      </c>
      <c r="C16">
        <v>15.95</v>
      </c>
      <c r="D16" s="9">
        <f t="shared" si="0"/>
        <v>0.25078369905956116</v>
      </c>
      <c r="E16">
        <v>11.95</v>
      </c>
    </row>
    <row r="17" spans="1:5"/>
    <row r="18" spans="1:5">
      <c r="A18" s="7" t="s">
        <v>70</v>
      </c>
      <c r="B18">
        <v>1</v>
      </c>
      <c r="C18">
        <v>6.5</v>
      </c>
      <c r="D18" s="9">
        <f t="shared" ref="D18:D29" si="1">(C18-E18)/C18</f>
        <v>0</v>
      </c>
      <c r="E18">
        <v>6.5</v>
      </c>
    </row>
    <row r="19" spans="1:5">
      <c r="A19" s="7" t="s">
        <v>71</v>
      </c>
      <c r="B19">
        <v>0</v>
      </c>
      <c r="D19" s="9">
        <v>0</v>
      </c>
    </row>
    <row r="20" spans="1:5">
      <c r="A20" s="7" t="s">
        <v>72</v>
      </c>
      <c r="B20">
        <v>0</v>
      </c>
      <c r="D20" s="9">
        <v>0</v>
      </c>
    </row>
    <row r="21" spans="1:5">
      <c r="A21" s="7" t="s">
        <v>73</v>
      </c>
      <c r="B21">
        <v>1</v>
      </c>
      <c r="C21">
        <v>6.5</v>
      </c>
      <c r="D21" s="9">
        <f t="shared" si="1"/>
        <v>0</v>
      </c>
      <c r="E21">
        <v>6.5</v>
      </c>
    </row>
    <row r="22" spans="1:5">
      <c r="A22" s="7" t="s">
        <v>74</v>
      </c>
      <c r="B22">
        <v>0</v>
      </c>
      <c r="D22" s="9">
        <v>0</v>
      </c>
    </row>
    <row r="23" spans="1:5">
      <c r="A23" s="7" t="s">
        <v>75</v>
      </c>
      <c r="B23">
        <v>1</v>
      </c>
      <c r="C23">
        <v>4</v>
      </c>
      <c r="D23" s="9">
        <v>0</v>
      </c>
      <c r="E23">
        <v>4</v>
      </c>
    </row>
    <row r="24" spans="1:5">
      <c r="A24" s="7" t="s">
        <v>76</v>
      </c>
      <c r="B24">
        <v>1</v>
      </c>
      <c r="C24">
        <v>5.9</v>
      </c>
      <c r="D24" s="9">
        <f t="shared" si="1"/>
        <v>0</v>
      </c>
      <c r="E24">
        <v>5.9</v>
      </c>
    </row>
    <row r="25" spans="1:5">
      <c r="A25" s="7" t="s">
        <v>77</v>
      </c>
      <c r="B25">
        <v>0</v>
      </c>
      <c r="D25" s="9">
        <v>0</v>
      </c>
    </row>
    <row r="26" spans="1:5">
      <c r="A26" s="7" t="s">
        <v>78</v>
      </c>
      <c r="B26">
        <v>0</v>
      </c>
      <c r="D26" s="9">
        <v>0</v>
      </c>
    </row>
    <row r="27" spans="1:5">
      <c r="A27" s="7" t="s">
        <v>79</v>
      </c>
      <c r="B27">
        <v>1</v>
      </c>
      <c r="C27">
        <v>8.5</v>
      </c>
      <c r="D27" s="9">
        <f t="shared" si="1"/>
        <v>0.3235294117647059</v>
      </c>
      <c r="E27">
        <v>5.75</v>
      </c>
    </row>
    <row r="28" spans="1:5">
      <c r="A28" s="7" t="s">
        <v>80</v>
      </c>
      <c r="B28">
        <v>1</v>
      </c>
      <c r="C28">
        <v>4.95</v>
      </c>
      <c r="D28" s="9">
        <f t="shared" si="1"/>
        <v>0</v>
      </c>
      <c r="E28">
        <v>4.95</v>
      </c>
    </row>
    <row r="29" spans="1:5">
      <c r="A29" s="7" t="s">
        <v>81</v>
      </c>
      <c r="B29">
        <v>1</v>
      </c>
      <c r="C29">
        <v>17.850000000000001</v>
      </c>
      <c r="D29" s="9">
        <f t="shared" si="1"/>
        <v>0</v>
      </c>
      <c r="E29">
        <v>17.850000000000001</v>
      </c>
    </row>
    <row r="30" spans="1:5">
      <c r="A30" s="7" t="s">
        <v>82</v>
      </c>
      <c r="B30">
        <v>1</v>
      </c>
      <c r="C30">
        <v>9.9499999999999993</v>
      </c>
      <c r="D30" s="9">
        <f>(C30-E30)/C30</f>
        <v>0.15075376884422112</v>
      </c>
      <c r="E30">
        <v>8.4499999999999993</v>
      </c>
    </row>
    <row r="31" spans="1:5">
      <c r="A31" s="8" t="s">
        <v>83</v>
      </c>
      <c r="B31">
        <v>1</v>
      </c>
      <c r="C31">
        <v>5.95</v>
      </c>
      <c r="D31" s="9">
        <f t="shared" ref="D31:D34" si="2">(C31-E31)/C31</f>
        <v>0</v>
      </c>
      <c r="E31">
        <v>5.95</v>
      </c>
    </row>
    <row r="32" spans="1:5">
      <c r="A32" s="7" t="s">
        <v>84</v>
      </c>
      <c r="B32">
        <v>1</v>
      </c>
      <c r="C32">
        <v>5.95</v>
      </c>
      <c r="D32" s="9">
        <f t="shared" si="2"/>
        <v>0</v>
      </c>
      <c r="E32">
        <v>5.95</v>
      </c>
    </row>
    <row r="33" spans="1:5">
      <c r="A33" s="7" t="s">
        <v>85</v>
      </c>
      <c r="B33">
        <v>1</v>
      </c>
      <c r="C33">
        <v>3.5</v>
      </c>
      <c r="D33" s="9">
        <f t="shared" si="2"/>
        <v>0</v>
      </c>
      <c r="E33">
        <v>3.5</v>
      </c>
    </row>
    <row r="34" spans="1:5">
      <c r="A34" s="7" t="s">
        <v>86</v>
      </c>
      <c r="B34">
        <v>1</v>
      </c>
      <c r="C34">
        <v>13.85</v>
      </c>
      <c r="D34" s="9">
        <f t="shared" si="2"/>
        <v>0</v>
      </c>
      <c r="E34">
        <v>13.85</v>
      </c>
    </row>
    <row r="35" spans="1:5"/>
    <row r="36" spans="1:5"/>
    <row r="37" spans="1:5"/>
    <row r="38" spans="1:5"/>
  </sheetData>
  <autoFilter ref="A1:E16" xr:uid="{4CE79FF4-66E2-CC43-8820-84FA4205F09A}">
    <sortState xmlns:xlrd2="http://schemas.microsoft.com/office/spreadsheetml/2017/richdata2" ref="A2:E16">
      <sortCondition ref="A1:A1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09EB-9F4D-E44D-A978-0A6A3B2E8CA3}">
  <dimension ref="A1:E38"/>
  <sheetViews>
    <sheetView workbookViewId="0">
      <selection activeCell="C23" sqref="C23:E23"/>
    </sheetView>
  </sheetViews>
  <sheetFormatPr defaultColWidth="10.625" defaultRowHeight="15.95"/>
  <cols>
    <col min="1" max="1" width="43.125" customWidth="1"/>
  </cols>
  <sheetData>
    <row r="1" spans="1:5" ht="15.7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 ht="15.75">
      <c r="A2" s="1" t="s">
        <v>55</v>
      </c>
      <c r="B2">
        <v>0</v>
      </c>
      <c r="D2" s="9">
        <v>0</v>
      </c>
    </row>
    <row r="3" spans="1:5" ht="15.75">
      <c r="A3" s="1" t="s">
        <v>56</v>
      </c>
      <c r="B3">
        <v>1</v>
      </c>
      <c r="C3">
        <v>11.5</v>
      </c>
      <c r="D3" s="9">
        <f>(C3-E3)/C3</f>
        <v>0</v>
      </c>
      <c r="E3">
        <v>11.5</v>
      </c>
    </row>
    <row r="4" spans="1:5" ht="15.75">
      <c r="A4" s="1" t="s">
        <v>57</v>
      </c>
      <c r="B4">
        <v>1</v>
      </c>
      <c r="C4">
        <v>72</v>
      </c>
      <c r="D4" s="9">
        <f>(C4-E4)/C4</f>
        <v>3.1944444444444407E-2</v>
      </c>
      <c r="E4">
        <v>69.7</v>
      </c>
    </row>
    <row r="5" spans="1:5" ht="15.75">
      <c r="A5" s="1" t="s">
        <v>58</v>
      </c>
      <c r="B5">
        <v>1</v>
      </c>
      <c r="C5">
        <v>6</v>
      </c>
      <c r="D5" s="9">
        <f>(C5-E5)/C5</f>
        <v>0.1166666666666667</v>
      </c>
      <c r="E5">
        <v>5.3</v>
      </c>
    </row>
    <row r="6" spans="1:5" ht="15.75">
      <c r="A6" s="1" t="s">
        <v>59</v>
      </c>
      <c r="B6">
        <v>0</v>
      </c>
      <c r="D6" s="9">
        <v>0</v>
      </c>
    </row>
    <row r="7" spans="1:5" ht="15.75">
      <c r="A7" s="1" t="s">
        <v>60</v>
      </c>
      <c r="B7">
        <v>0</v>
      </c>
      <c r="D7" s="9">
        <v>0</v>
      </c>
    </row>
    <row r="8" spans="1:5" ht="15.75">
      <c r="A8" s="1" t="s">
        <v>61</v>
      </c>
      <c r="B8">
        <v>0</v>
      </c>
      <c r="D8" s="9">
        <v>0</v>
      </c>
    </row>
    <row r="9" spans="1:5" ht="15.75">
      <c r="A9" s="1" t="s">
        <v>62</v>
      </c>
      <c r="B9">
        <v>1</v>
      </c>
      <c r="C9">
        <v>4</v>
      </c>
      <c r="D9" s="9">
        <f>(C9-E9)/C9</f>
        <v>1</v>
      </c>
    </row>
    <row r="10" spans="1:5" ht="15.75">
      <c r="A10" s="1" t="s">
        <v>63</v>
      </c>
      <c r="B10">
        <v>1</v>
      </c>
      <c r="C10">
        <v>30</v>
      </c>
      <c r="D10" s="9">
        <f>(C10-E10)/C10</f>
        <v>0.33500000000000002</v>
      </c>
      <c r="E10">
        <v>19.95</v>
      </c>
    </row>
    <row r="11" spans="1:5" ht="15.75">
      <c r="A11" s="1" t="s">
        <v>64</v>
      </c>
      <c r="B11">
        <v>1</v>
      </c>
      <c r="C11">
        <v>45</v>
      </c>
      <c r="D11" s="9">
        <f>(C11-E11)/C11</f>
        <v>1.3333333333333365E-2</v>
      </c>
      <c r="E11">
        <v>44.4</v>
      </c>
    </row>
    <row r="12" spans="1:5" ht="15.75">
      <c r="A12" s="1" t="s">
        <v>65</v>
      </c>
      <c r="B12">
        <v>0</v>
      </c>
      <c r="C12">
        <v>24.5</v>
      </c>
      <c r="D12" s="9">
        <f>(C12-E12)/C12</f>
        <v>3.0612244897959183E-2</v>
      </c>
      <c r="E12">
        <v>23.75</v>
      </c>
    </row>
    <row r="13" spans="1:5" ht="15.75">
      <c r="A13" s="1" t="s">
        <v>66</v>
      </c>
      <c r="B13">
        <v>0</v>
      </c>
      <c r="D13" s="9">
        <v>0</v>
      </c>
    </row>
    <row r="14" spans="1:5" ht="15.75">
      <c r="A14" s="1" t="s">
        <v>67</v>
      </c>
      <c r="B14">
        <v>1</v>
      </c>
      <c r="C14">
        <v>2.95</v>
      </c>
      <c r="D14" s="9">
        <f>(C14-E14)/C14</f>
        <v>0</v>
      </c>
      <c r="E14">
        <v>2.95</v>
      </c>
    </row>
    <row r="15" spans="1:5" ht="15.75">
      <c r="A15" s="1" t="s">
        <v>68</v>
      </c>
      <c r="B15">
        <v>1</v>
      </c>
      <c r="C15">
        <v>2.5499999999999998</v>
      </c>
      <c r="D15" s="9">
        <f>(C15-E15)/C15</f>
        <v>0</v>
      </c>
      <c r="E15">
        <v>2.5499999999999998</v>
      </c>
    </row>
    <row r="16" spans="1:5" ht="15.75">
      <c r="A16" s="1" t="s">
        <v>69</v>
      </c>
      <c r="B16">
        <v>1</v>
      </c>
      <c r="D16" s="9">
        <v>0</v>
      </c>
    </row>
    <row r="17" spans="1:5" ht="15.75">
      <c r="D17" s="9">
        <v>0</v>
      </c>
    </row>
    <row r="18" spans="1:5" ht="15.75">
      <c r="A18" s="7" t="s">
        <v>70</v>
      </c>
      <c r="B18">
        <v>1</v>
      </c>
      <c r="C18">
        <v>6.5</v>
      </c>
      <c r="D18" s="9">
        <f t="shared" ref="D18:D29" si="0">(C18-E18)/C18</f>
        <v>0</v>
      </c>
      <c r="E18">
        <v>6.5</v>
      </c>
    </row>
    <row r="19" spans="1:5" ht="15.75">
      <c r="A19" s="7" t="s">
        <v>71</v>
      </c>
      <c r="B19">
        <v>0</v>
      </c>
      <c r="D19" s="9">
        <v>0</v>
      </c>
    </row>
    <row r="20" spans="1:5">
      <c r="A20" s="7" t="s">
        <v>72</v>
      </c>
      <c r="B20">
        <v>0</v>
      </c>
      <c r="D20" s="9">
        <v>0</v>
      </c>
    </row>
    <row r="21" spans="1:5">
      <c r="A21" s="7" t="s">
        <v>73</v>
      </c>
      <c r="B21">
        <v>1</v>
      </c>
      <c r="C21">
        <v>6.5</v>
      </c>
      <c r="D21" s="9">
        <f t="shared" si="0"/>
        <v>0</v>
      </c>
      <c r="E21">
        <v>6.5</v>
      </c>
    </row>
    <row r="22" spans="1:5">
      <c r="A22" s="7" t="s">
        <v>74</v>
      </c>
      <c r="B22">
        <v>0</v>
      </c>
      <c r="D22" s="9">
        <v>0</v>
      </c>
    </row>
    <row r="23" spans="1:5">
      <c r="A23" s="7" t="s">
        <v>75</v>
      </c>
      <c r="B23">
        <v>0</v>
      </c>
      <c r="C23">
        <v>4</v>
      </c>
      <c r="D23" s="9">
        <v>0</v>
      </c>
      <c r="E23">
        <v>4</v>
      </c>
    </row>
    <row r="24" spans="1:5">
      <c r="A24" s="7" t="s">
        <v>76</v>
      </c>
      <c r="B24">
        <v>1</v>
      </c>
      <c r="C24">
        <v>5.9</v>
      </c>
      <c r="D24" s="9">
        <f t="shared" si="0"/>
        <v>0</v>
      </c>
      <c r="E24">
        <v>5.9</v>
      </c>
    </row>
    <row r="25" spans="1:5">
      <c r="A25" s="7" t="s">
        <v>77</v>
      </c>
      <c r="B25">
        <v>0</v>
      </c>
      <c r="D25" s="9">
        <v>0</v>
      </c>
    </row>
    <row r="26" spans="1:5">
      <c r="A26" s="7" t="s">
        <v>78</v>
      </c>
      <c r="B26">
        <v>0</v>
      </c>
      <c r="D26" s="9">
        <v>0</v>
      </c>
    </row>
    <row r="27" spans="1:5">
      <c r="A27" s="7" t="s">
        <v>79</v>
      </c>
      <c r="B27">
        <v>1</v>
      </c>
      <c r="C27">
        <v>8.5</v>
      </c>
      <c r="D27" s="9">
        <f t="shared" si="0"/>
        <v>0.3235294117647059</v>
      </c>
      <c r="E27">
        <v>5.75</v>
      </c>
    </row>
    <row r="28" spans="1:5">
      <c r="A28" s="7" t="s">
        <v>80</v>
      </c>
      <c r="B28">
        <v>1</v>
      </c>
      <c r="C28">
        <v>4.95</v>
      </c>
      <c r="D28" s="9">
        <f t="shared" si="0"/>
        <v>0</v>
      </c>
      <c r="E28">
        <v>4.95</v>
      </c>
    </row>
    <row r="29" spans="1:5">
      <c r="A29" s="7" t="s">
        <v>81</v>
      </c>
      <c r="B29">
        <v>1</v>
      </c>
      <c r="C29">
        <v>17.850000000000001</v>
      </c>
      <c r="D29" s="9">
        <f t="shared" si="0"/>
        <v>0</v>
      </c>
      <c r="E29">
        <v>17.850000000000001</v>
      </c>
    </row>
    <row r="30" spans="1:5">
      <c r="A30" s="7" t="s">
        <v>82</v>
      </c>
      <c r="B30">
        <v>1</v>
      </c>
      <c r="C30">
        <v>9.9499999999999993</v>
      </c>
      <c r="D30" s="9">
        <f>(C30-E30)/C30</f>
        <v>0.15075376884422112</v>
      </c>
      <c r="E30">
        <v>8.4499999999999993</v>
      </c>
    </row>
    <row r="31" spans="1:5" ht="15.75">
      <c r="A31" s="8" t="s">
        <v>83</v>
      </c>
      <c r="B31">
        <v>1</v>
      </c>
      <c r="C31">
        <v>5.95</v>
      </c>
      <c r="D31" s="9">
        <f t="shared" ref="D31:D34" si="1">(C31-E31)/C31</f>
        <v>0</v>
      </c>
      <c r="E31">
        <v>5.95</v>
      </c>
    </row>
    <row r="32" spans="1:5">
      <c r="A32" s="7" t="s">
        <v>84</v>
      </c>
      <c r="B32">
        <v>1</v>
      </c>
      <c r="C32">
        <v>5.95</v>
      </c>
      <c r="D32" s="9">
        <f t="shared" si="1"/>
        <v>0</v>
      </c>
      <c r="E32">
        <v>5.95</v>
      </c>
    </row>
    <row r="33" spans="1:5">
      <c r="A33" s="7" t="s">
        <v>85</v>
      </c>
      <c r="B33">
        <v>1</v>
      </c>
      <c r="C33">
        <v>3.5</v>
      </c>
      <c r="D33" s="9">
        <f t="shared" si="1"/>
        <v>0</v>
      </c>
      <c r="E33">
        <v>3.5</v>
      </c>
    </row>
    <row r="34" spans="1:5">
      <c r="A34" s="7" t="s">
        <v>86</v>
      </c>
      <c r="B34">
        <v>1</v>
      </c>
      <c r="C34">
        <v>13.85</v>
      </c>
      <c r="D34" s="9">
        <f t="shared" si="1"/>
        <v>0</v>
      </c>
      <c r="E34">
        <v>13.85</v>
      </c>
    </row>
    <row r="35" spans="1:5" ht="15.75">
      <c r="D35" t="s">
        <v>87</v>
      </c>
    </row>
    <row r="36" spans="1:5" ht="15.75"/>
    <row r="38" spans="1:5" ht="15.75"/>
  </sheetData>
  <autoFilter ref="A1:E12" xr:uid="{D3BE09EB-9F4D-E44D-A978-0A6A3B2E8CA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3370-54D5-784D-88C8-9C55482C278E}">
  <dimension ref="A1:E38"/>
  <sheetViews>
    <sheetView topLeftCell="A21" workbookViewId="0">
      <selection activeCell="C23" sqref="C23:E23"/>
    </sheetView>
  </sheetViews>
  <sheetFormatPr defaultColWidth="10.625" defaultRowHeight="15.95"/>
  <cols>
    <col min="1" max="1" width="43.5" customWidth="1"/>
  </cols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 ht="15.75">
      <c r="A2" s="1" t="s">
        <v>55</v>
      </c>
      <c r="B2">
        <v>1</v>
      </c>
      <c r="D2" s="9">
        <v>0</v>
      </c>
    </row>
    <row r="3" spans="1:5" ht="15.75">
      <c r="A3" s="1" t="s">
        <v>56</v>
      </c>
      <c r="B3">
        <v>1</v>
      </c>
      <c r="C3">
        <v>11.5</v>
      </c>
      <c r="D3" s="9">
        <f>(C3-E3)/C3</f>
        <v>0</v>
      </c>
      <c r="E3">
        <v>11.5</v>
      </c>
    </row>
    <row r="4" spans="1:5" ht="15.75">
      <c r="A4" s="1" t="s">
        <v>57</v>
      </c>
      <c r="B4">
        <v>0</v>
      </c>
      <c r="C4">
        <v>72</v>
      </c>
      <c r="D4" s="9">
        <f>(C4-E4)/C4</f>
        <v>3.1944444444444407E-2</v>
      </c>
      <c r="E4">
        <v>69.7</v>
      </c>
    </row>
    <row r="5" spans="1:5" ht="15.75">
      <c r="A5" s="1" t="s">
        <v>58</v>
      </c>
      <c r="B5">
        <v>1</v>
      </c>
      <c r="C5">
        <v>6</v>
      </c>
      <c r="D5" s="9">
        <f>(C5-E5)/C5</f>
        <v>0.1166666666666667</v>
      </c>
      <c r="E5">
        <v>5.3</v>
      </c>
    </row>
    <row r="6" spans="1:5" ht="15.75">
      <c r="A6" s="1" t="s">
        <v>59</v>
      </c>
      <c r="B6">
        <v>0</v>
      </c>
      <c r="D6" s="9">
        <v>0</v>
      </c>
    </row>
    <row r="7" spans="1:5" ht="15.75">
      <c r="A7" s="1" t="s">
        <v>60</v>
      </c>
      <c r="B7">
        <v>0</v>
      </c>
      <c r="D7" s="9">
        <v>0</v>
      </c>
    </row>
    <row r="8" spans="1:5" ht="15.75">
      <c r="A8" s="1" t="s">
        <v>61</v>
      </c>
      <c r="B8">
        <v>0</v>
      </c>
      <c r="D8" s="9">
        <v>0</v>
      </c>
    </row>
    <row r="9" spans="1:5" ht="15.75">
      <c r="A9" s="1" t="s">
        <v>62</v>
      </c>
      <c r="B9">
        <v>1</v>
      </c>
      <c r="C9">
        <v>4</v>
      </c>
      <c r="D9" s="9">
        <f>(C9-E9)/C9</f>
        <v>1</v>
      </c>
    </row>
    <row r="10" spans="1:5" ht="15.75">
      <c r="A10" s="1" t="s">
        <v>63</v>
      </c>
      <c r="B10">
        <v>1</v>
      </c>
      <c r="C10">
        <v>30</v>
      </c>
      <c r="D10" s="9">
        <f>(C10-E10)/C10</f>
        <v>0.33500000000000002</v>
      </c>
      <c r="E10">
        <v>19.95</v>
      </c>
    </row>
    <row r="11" spans="1:5" ht="15.75">
      <c r="A11" s="1" t="s">
        <v>64</v>
      </c>
      <c r="B11">
        <v>1</v>
      </c>
      <c r="C11">
        <v>45</v>
      </c>
      <c r="D11" s="9">
        <f>(C11-E11)/C11</f>
        <v>1.3333333333333365E-2</v>
      </c>
      <c r="E11">
        <v>44.4</v>
      </c>
    </row>
    <row r="12" spans="1:5" ht="15.75">
      <c r="A12" s="1" t="s">
        <v>65</v>
      </c>
      <c r="B12">
        <v>0</v>
      </c>
      <c r="C12">
        <v>24.5</v>
      </c>
      <c r="D12" s="9">
        <f>(C12-E12)/C12</f>
        <v>3.0612244897959183E-2</v>
      </c>
      <c r="E12">
        <v>23.75</v>
      </c>
    </row>
    <row r="13" spans="1:5" ht="15.75">
      <c r="A13" s="1" t="s">
        <v>66</v>
      </c>
      <c r="B13">
        <v>0</v>
      </c>
      <c r="D13" s="9">
        <v>0</v>
      </c>
    </row>
    <row r="14" spans="1:5" ht="15.75">
      <c r="A14" s="1" t="s">
        <v>67</v>
      </c>
      <c r="B14">
        <v>1</v>
      </c>
      <c r="C14">
        <v>2.95</v>
      </c>
      <c r="D14" s="9">
        <f>(C14-E14)/C14</f>
        <v>0</v>
      </c>
      <c r="E14">
        <v>2.95</v>
      </c>
    </row>
    <row r="15" spans="1:5" ht="15.75">
      <c r="A15" s="1" t="s">
        <v>68</v>
      </c>
      <c r="B15">
        <v>0</v>
      </c>
      <c r="C15">
        <v>2.5499999999999998</v>
      </c>
      <c r="D15" s="9">
        <f>(C15-E15)/C15</f>
        <v>0</v>
      </c>
      <c r="E15">
        <v>2.5499999999999998</v>
      </c>
    </row>
    <row r="16" spans="1:5" ht="15.75">
      <c r="A16" s="1" t="s">
        <v>69</v>
      </c>
      <c r="B16">
        <v>0</v>
      </c>
      <c r="D16" s="9">
        <v>0</v>
      </c>
    </row>
    <row r="17" spans="1:5">
      <c r="D17" s="9">
        <v>0</v>
      </c>
    </row>
    <row r="18" spans="1:5">
      <c r="A18" s="7" t="s">
        <v>70</v>
      </c>
      <c r="B18">
        <v>1</v>
      </c>
      <c r="C18">
        <v>6.5</v>
      </c>
      <c r="D18" s="9">
        <f t="shared" ref="D18:D29" si="0">(C18-E18)/C18</f>
        <v>0</v>
      </c>
      <c r="E18">
        <v>6.5</v>
      </c>
    </row>
    <row r="19" spans="1:5">
      <c r="A19" s="7" t="s">
        <v>71</v>
      </c>
      <c r="B19">
        <v>0</v>
      </c>
      <c r="D19" s="9">
        <v>0</v>
      </c>
    </row>
    <row r="20" spans="1:5">
      <c r="A20" s="7" t="s">
        <v>72</v>
      </c>
      <c r="B20">
        <v>0</v>
      </c>
      <c r="D20" s="9">
        <v>0</v>
      </c>
    </row>
    <row r="21" spans="1:5">
      <c r="A21" s="7" t="s">
        <v>73</v>
      </c>
      <c r="B21">
        <v>1</v>
      </c>
      <c r="C21">
        <v>6.5</v>
      </c>
      <c r="D21" s="9">
        <f t="shared" si="0"/>
        <v>0</v>
      </c>
      <c r="E21">
        <v>6.5</v>
      </c>
    </row>
    <row r="22" spans="1:5">
      <c r="A22" s="7" t="s">
        <v>74</v>
      </c>
      <c r="B22">
        <v>0</v>
      </c>
      <c r="D22" s="9">
        <v>0</v>
      </c>
    </row>
    <row r="23" spans="1:5">
      <c r="A23" s="7" t="s">
        <v>75</v>
      </c>
      <c r="B23">
        <v>1</v>
      </c>
      <c r="C23">
        <v>4</v>
      </c>
      <c r="D23" s="9">
        <v>0</v>
      </c>
      <c r="E23">
        <v>4</v>
      </c>
    </row>
    <row r="24" spans="1:5">
      <c r="A24" s="7" t="s">
        <v>76</v>
      </c>
      <c r="B24">
        <v>1</v>
      </c>
      <c r="C24">
        <v>5.9</v>
      </c>
      <c r="D24" s="9">
        <f t="shared" si="0"/>
        <v>0</v>
      </c>
      <c r="E24">
        <v>5.9</v>
      </c>
    </row>
    <row r="25" spans="1:5">
      <c r="A25" s="7" t="s">
        <v>77</v>
      </c>
      <c r="B25">
        <v>0</v>
      </c>
      <c r="D25" s="9">
        <v>0</v>
      </c>
    </row>
    <row r="26" spans="1:5">
      <c r="A26" s="7" t="s">
        <v>78</v>
      </c>
      <c r="B26">
        <v>0</v>
      </c>
      <c r="D26" s="9">
        <v>0</v>
      </c>
    </row>
    <row r="27" spans="1:5">
      <c r="A27" s="7" t="s">
        <v>79</v>
      </c>
      <c r="B27">
        <v>1</v>
      </c>
      <c r="C27">
        <v>8.5</v>
      </c>
      <c r="D27" s="9">
        <f t="shared" si="0"/>
        <v>0.3235294117647059</v>
      </c>
      <c r="E27">
        <v>5.75</v>
      </c>
    </row>
    <row r="28" spans="1:5">
      <c r="A28" s="7" t="s">
        <v>80</v>
      </c>
      <c r="B28">
        <v>0</v>
      </c>
      <c r="C28">
        <v>4.95</v>
      </c>
      <c r="D28" s="9">
        <f t="shared" si="0"/>
        <v>0</v>
      </c>
      <c r="E28">
        <v>4.95</v>
      </c>
    </row>
    <row r="29" spans="1:5">
      <c r="A29" s="7" t="s">
        <v>81</v>
      </c>
      <c r="B29">
        <v>1</v>
      </c>
      <c r="C29">
        <v>17.850000000000001</v>
      </c>
      <c r="D29" s="9">
        <f t="shared" si="0"/>
        <v>0</v>
      </c>
      <c r="E29">
        <v>17.850000000000001</v>
      </c>
    </row>
    <row r="30" spans="1:5">
      <c r="A30" s="7" t="s">
        <v>82</v>
      </c>
      <c r="B30">
        <v>1</v>
      </c>
      <c r="C30">
        <v>9.9499999999999993</v>
      </c>
      <c r="D30" s="9">
        <f>(C30-E30)/C30</f>
        <v>0.15075376884422112</v>
      </c>
      <c r="E30">
        <v>8.4499999999999993</v>
      </c>
    </row>
    <row r="31" spans="1:5" ht="15.75">
      <c r="A31" s="8" t="s">
        <v>83</v>
      </c>
      <c r="B31">
        <v>1</v>
      </c>
      <c r="C31">
        <v>5.95</v>
      </c>
      <c r="D31" s="9">
        <f t="shared" ref="D31:D34" si="1">(C31-E31)/C31</f>
        <v>0</v>
      </c>
      <c r="E31">
        <v>5.95</v>
      </c>
    </row>
    <row r="32" spans="1:5">
      <c r="A32" s="7" t="s">
        <v>84</v>
      </c>
      <c r="B32">
        <v>1</v>
      </c>
      <c r="C32">
        <v>5.95</v>
      </c>
      <c r="D32" s="9">
        <f t="shared" si="1"/>
        <v>0</v>
      </c>
      <c r="E32">
        <v>5.95</v>
      </c>
    </row>
    <row r="33" spans="1:5">
      <c r="A33" s="7" t="s">
        <v>85</v>
      </c>
      <c r="B33">
        <v>1</v>
      </c>
      <c r="C33">
        <v>3.5</v>
      </c>
      <c r="D33" s="9">
        <f t="shared" si="1"/>
        <v>0</v>
      </c>
      <c r="E33">
        <v>3.5</v>
      </c>
    </row>
    <row r="34" spans="1:5">
      <c r="A34" s="7" t="s">
        <v>86</v>
      </c>
      <c r="B34">
        <v>1</v>
      </c>
      <c r="C34">
        <v>13.85</v>
      </c>
      <c r="D34" s="9">
        <f t="shared" si="1"/>
        <v>0</v>
      </c>
      <c r="E34">
        <v>13.85</v>
      </c>
    </row>
    <row r="35" spans="1:5" ht="15.75"/>
    <row r="36" spans="1:5" ht="15.75"/>
    <row r="38" spans="1:5" ht="15.75"/>
  </sheetData>
  <autoFilter ref="A1:E12" xr:uid="{90803370-54D5-784D-88C8-9C55482C278E}">
    <sortState xmlns:xlrd2="http://schemas.microsoft.com/office/spreadsheetml/2017/richdata2" ref="A2:E12">
      <sortCondition ref="A1:A12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F4796-8299-4843-816A-93C1F90E2FC4}">
  <dimension ref="A1:E51"/>
  <sheetViews>
    <sheetView workbookViewId="0">
      <selection activeCell="H31" sqref="H31"/>
    </sheetView>
  </sheetViews>
  <sheetFormatPr defaultColWidth="10.625" defaultRowHeight="15.95"/>
  <cols>
    <col min="1" max="1" width="40.375" customWidth="1"/>
    <col min="3" max="3" width="14" customWidth="1"/>
    <col min="4" max="4" width="18.75" style="9" customWidth="1"/>
  </cols>
  <sheetData>
    <row r="1" spans="1:5">
      <c r="A1" t="s">
        <v>50</v>
      </c>
      <c r="B1" t="s">
        <v>51</v>
      </c>
      <c r="C1" t="s">
        <v>52</v>
      </c>
      <c r="D1" s="9" t="s">
        <v>53</v>
      </c>
      <c r="E1" t="s">
        <v>54</v>
      </c>
    </row>
    <row r="2" spans="1:5">
      <c r="A2" s="1" t="s">
        <v>55</v>
      </c>
      <c r="B2">
        <v>0</v>
      </c>
      <c r="D2" s="9">
        <v>0</v>
      </c>
    </row>
    <row r="3" spans="1:5">
      <c r="A3" s="1" t="s">
        <v>56</v>
      </c>
      <c r="B3">
        <v>1</v>
      </c>
      <c r="C3">
        <v>11.5</v>
      </c>
      <c r="D3" s="9">
        <f>(C3-E3)/C3</f>
        <v>0</v>
      </c>
      <c r="E3">
        <v>11.5</v>
      </c>
    </row>
    <row r="4" spans="1:5">
      <c r="A4" s="1" t="s">
        <v>57</v>
      </c>
      <c r="B4">
        <v>0</v>
      </c>
      <c r="C4">
        <v>72</v>
      </c>
      <c r="D4" s="9">
        <f>(C4-E4)/C4</f>
        <v>3.1944444444444407E-2</v>
      </c>
      <c r="E4">
        <v>69.7</v>
      </c>
    </row>
    <row r="5" spans="1:5">
      <c r="A5" s="1" t="s">
        <v>58</v>
      </c>
      <c r="B5">
        <v>1</v>
      </c>
      <c r="C5">
        <v>6</v>
      </c>
      <c r="D5" s="9">
        <f>(C5-E5)/C5</f>
        <v>0.1166666666666667</v>
      </c>
      <c r="E5">
        <v>5.3</v>
      </c>
    </row>
    <row r="6" spans="1:5">
      <c r="A6" s="1" t="s">
        <v>59</v>
      </c>
      <c r="B6">
        <v>0</v>
      </c>
      <c r="D6" s="9">
        <v>0</v>
      </c>
    </row>
    <row r="7" spans="1:5">
      <c r="A7" s="1" t="s">
        <v>60</v>
      </c>
      <c r="B7">
        <v>0</v>
      </c>
      <c r="D7" s="9">
        <v>0</v>
      </c>
    </row>
    <row r="8" spans="1:5">
      <c r="A8" s="1" t="s">
        <v>61</v>
      </c>
      <c r="B8">
        <v>0</v>
      </c>
      <c r="D8" s="9">
        <v>0</v>
      </c>
    </row>
    <row r="9" spans="1:5">
      <c r="A9" s="1" t="s">
        <v>62</v>
      </c>
      <c r="B9">
        <v>1</v>
      </c>
      <c r="C9">
        <v>4</v>
      </c>
      <c r="D9" s="9">
        <f>(C9-E9)/C9</f>
        <v>1</v>
      </c>
    </row>
    <row r="10" spans="1:5" ht="15.75">
      <c r="A10" s="1" t="s">
        <v>63</v>
      </c>
      <c r="B10">
        <v>1</v>
      </c>
      <c r="C10">
        <v>30</v>
      </c>
      <c r="D10" s="9">
        <f>(C10-E10)/C10</f>
        <v>0.33500000000000002</v>
      </c>
      <c r="E10">
        <v>19.95</v>
      </c>
    </row>
    <row r="11" spans="1:5">
      <c r="A11" s="1" t="s">
        <v>64</v>
      </c>
      <c r="B11">
        <v>0</v>
      </c>
      <c r="C11">
        <v>45</v>
      </c>
      <c r="D11" s="9">
        <f>(C11-E11)/C11</f>
        <v>1.3333333333333365E-2</v>
      </c>
      <c r="E11">
        <v>44.4</v>
      </c>
    </row>
    <row r="12" spans="1:5">
      <c r="A12" s="1" t="s">
        <v>65</v>
      </c>
      <c r="B12">
        <v>1</v>
      </c>
      <c r="C12">
        <v>24.5</v>
      </c>
      <c r="D12" s="9">
        <f>(C12-E12)/C12</f>
        <v>3.0612244897959183E-2</v>
      </c>
      <c r="E12">
        <v>23.75</v>
      </c>
    </row>
    <row r="13" spans="1:5" ht="15.75">
      <c r="A13" s="1" t="s">
        <v>66</v>
      </c>
      <c r="B13">
        <v>0</v>
      </c>
      <c r="D13" s="9">
        <v>0</v>
      </c>
    </row>
    <row r="14" spans="1:5" ht="15.75">
      <c r="A14" s="1" t="s">
        <v>67</v>
      </c>
      <c r="B14">
        <v>1</v>
      </c>
      <c r="C14">
        <v>2.95</v>
      </c>
      <c r="D14" s="9">
        <f>(C14-E14)/C14</f>
        <v>0</v>
      </c>
      <c r="E14">
        <v>2.95</v>
      </c>
    </row>
    <row r="15" spans="1:5" ht="15.75">
      <c r="A15" s="1" t="s">
        <v>68</v>
      </c>
      <c r="B15">
        <v>1</v>
      </c>
      <c r="C15">
        <v>2.5499999999999998</v>
      </c>
      <c r="D15" s="9">
        <f>(C15-E15)/C15</f>
        <v>0</v>
      </c>
      <c r="E15">
        <v>2.5499999999999998</v>
      </c>
    </row>
    <row r="16" spans="1:5" ht="15.75">
      <c r="A16" s="1" t="s">
        <v>69</v>
      </c>
      <c r="B16">
        <v>1</v>
      </c>
      <c r="D16" s="9">
        <v>0</v>
      </c>
    </row>
    <row r="17" spans="1:5" ht="15.75"/>
    <row r="18" spans="1:5" ht="15.75">
      <c r="A18" s="7" t="s">
        <v>70</v>
      </c>
      <c r="B18">
        <v>1</v>
      </c>
      <c r="C18">
        <v>6.5</v>
      </c>
      <c r="D18" s="9">
        <f t="shared" ref="D18:D29" si="0">(C18-E18)/C18</f>
        <v>0</v>
      </c>
      <c r="E18">
        <v>6.5</v>
      </c>
    </row>
    <row r="19" spans="1:5" ht="15.75">
      <c r="A19" s="7" t="s">
        <v>71</v>
      </c>
      <c r="B19">
        <v>0</v>
      </c>
      <c r="D19" s="9">
        <v>0</v>
      </c>
    </row>
    <row r="20" spans="1:5" ht="15.75">
      <c r="A20" s="7" t="s">
        <v>72</v>
      </c>
      <c r="B20">
        <v>0</v>
      </c>
      <c r="D20" s="9">
        <v>0</v>
      </c>
    </row>
    <row r="21" spans="1:5" ht="15.75">
      <c r="A21" s="7" t="s">
        <v>73</v>
      </c>
      <c r="B21">
        <v>1</v>
      </c>
      <c r="C21">
        <v>6.5</v>
      </c>
      <c r="D21" s="9">
        <f t="shared" si="0"/>
        <v>0</v>
      </c>
      <c r="E21">
        <v>6.5</v>
      </c>
    </row>
    <row r="22" spans="1:5" ht="15.75">
      <c r="A22" s="7" t="s">
        <v>74</v>
      </c>
      <c r="B22">
        <v>0</v>
      </c>
      <c r="D22" s="9">
        <v>0</v>
      </c>
    </row>
    <row r="23" spans="1:5" ht="15.75">
      <c r="A23" s="7" t="s">
        <v>75</v>
      </c>
      <c r="B23">
        <v>1</v>
      </c>
      <c r="C23">
        <v>4</v>
      </c>
      <c r="D23" s="9">
        <v>0</v>
      </c>
      <c r="E23">
        <v>4</v>
      </c>
    </row>
    <row r="24" spans="1:5" ht="15.75">
      <c r="A24" s="7" t="s">
        <v>76</v>
      </c>
      <c r="B24">
        <v>1</v>
      </c>
      <c r="C24">
        <v>5.9</v>
      </c>
      <c r="D24" s="9">
        <f t="shared" si="0"/>
        <v>0</v>
      </c>
      <c r="E24">
        <v>5.9</v>
      </c>
    </row>
    <row r="25" spans="1:5" ht="15.75">
      <c r="A25" s="7" t="s">
        <v>77</v>
      </c>
      <c r="B25">
        <v>0</v>
      </c>
      <c r="D25" s="9">
        <v>0</v>
      </c>
    </row>
    <row r="26" spans="1:5" ht="15.75">
      <c r="A26" s="7" t="s">
        <v>78</v>
      </c>
      <c r="B26">
        <v>0</v>
      </c>
      <c r="D26" s="9">
        <v>0</v>
      </c>
    </row>
    <row r="27" spans="1:5" ht="15.75">
      <c r="A27" s="7" t="s">
        <v>79</v>
      </c>
      <c r="B27">
        <v>1</v>
      </c>
      <c r="C27">
        <v>8.5</v>
      </c>
      <c r="D27" s="9">
        <f t="shared" si="0"/>
        <v>0.3235294117647059</v>
      </c>
      <c r="E27">
        <v>5.75</v>
      </c>
    </row>
    <row r="28" spans="1:5" ht="15.75">
      <c r="A28" s="7" t="s">
        <v>80</v>
      </c>
      <c r="B28">
        <v>0</v>
      </c>
      <c r="C28">
        <v>4.95</v>
      </c>
      <c r="D28" s="9">
        <f t="shared" si="0"/>
        <v>0</v>
      </c>
      <c r="E28">
        <v>4.95</v>
      </c>
    </row>
    <row r="29" spans="1:5" ht="15.75">
      <c r="A29" s="7" t="s">
        <v>81</v>
      </c>
      <c r="B29">
        <v>1</v>
      </c>
      <c r="C29">
        <v>17.850000000000001</v>
      </c>
      <c r="D29" s="9">
        <f t="shared" si="0"/>
        <v>0</v>
      </c>
      <c r="E29">
        <v>17.850000000000001</v>
      </c>
    </row>
    <row r="30" spans="1:5" ht="15.75">
      <c r="A30" s="7" t="s">
        <v>82</v>
      </c>
      <c r="B30">
        <v>1</v>
      </c>
      <c r="C30">
        <v>9.9499999999999993</v>
      </c>
      <c r="D30" s="9">
        <f>(C30-E30)/C30</f>
        <v>0.15075376884422112</v>
      </c>
      <c r="E30">
        <v>8.4499999999999993</v>
      </c>
    </row>
    <row r="31" spans="1:5" ht="15.75">
      <c r="A31" s="8" t="s">
        <v>83</v>
      </c>
      <c r="B31">
        <v>1</v>
      </c>
      <c r="C31">
        <v>5.95</v>
      </c>
      <c r="D31" s="9">
        <f t="shared" ref="D31:D34" si="1">(C31-E31)/C31</f>
        <v>0</v>
      </c>
      <c r="E31">
        <v>5.95</v>
      </c>
    </row>
    <row r="32" spans="1:5" ht="15.75">
      <c r="A32" s="7" t="s">
        <v>84</v>
      </c>
      <c r="B32">
        <v>1</v>
      </c>
      <c r="C32">
        <v>5.95</v>
      </c>
      <c r="D32" s="9">
        <f t="shared" si="1"/>
        <v>0</v>
      </c>
      <c r="E32">
        <v>5.95</v>
      </c>
    </row>
    <row r="33" spans="1:5" ht="15.75">
      <c r="A33" s="7" t="s">
        <v>85</v>
      </c>
      <c r="B33">
        <v>1</v>
      </c>
      <c r="C33">
        <v>3.5</v>
      </c>
      <c r="D33" s="9">
        <f t="shared" si="1"/>
        <v>0</v>
      </c>
      <c r="E33">
        <v>3.5</v>
      </c>
    </row>
    <row r="34" spans="1:5" ht="15.75">
      <c r="A34" s="7" t="s">
        <v>86</v>
      </c>
      <c r="B34">
        <v>1</v>
      </c>
      <c r="C34">
        <v>13.85</v>
      </c>
      <c r="D34" s="9">
        <f t="shared" si="1"/>
        <v>0</v>
      </c>
      <c r="E34">
        <v>13.85</v>
      </c>
    </row>
    <row r="35" spans="1:5" ht="15.75"/>
    <row r="36" spans="1:5" ht="15.75"/>
    <row r="37" spans="1:5" ht="15.75"/>
    <row r="38" spans="1:5" ht="15.75"/>
    <row r="39" spans="1:5" ht="15.75"/>
    <row r="40" spans="1:5" ht="15.75"/>
    <row r="41" spans="1:5" ht="15.75"/>
    <row r="42" spans="1:5" ht="15.75"/>
    <row r="43" spans="1:5" ht="15.75"/>
    <row r="44" spans="1:5" ht="15.75"/>
    <row r="45" spans="1:5" ht="15.75"/>
    <row r="46" spans="1:5" ht="15.75"/>
    <row r="47" spans="1:5" ht="15.75"/>
    <row r="48" spans="1:5" ht="15.75"/>
    <row r="49" ht="15.75"/>
    <row r="50" ht="15.75"/>
    <row r="51" ht="15.75"/>
  </sheetData>
  <autoFilter ref="A17:E34" xr:uid="{1ABF4796-8299-4843-816A-93C1F90E2F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Husn  Shujaat</dc:creator>
  <cp:keywords/>
  <dc:description/>
  <cp:lastModifiedBy/>
  <cp:revision/>
  <dcterms:created xsi:type="dcterms:W3CDTF">2026-04-22T12:46:11Z</dcterms:created>
  <dcterms:modified xsi:type="dcterms:W3CDTF">2026-04-24T18:53:35Z</dcterms:modified>
  <cp:category/>
  <cp:contentStatus/>
</cp:coreProperties>
</file>