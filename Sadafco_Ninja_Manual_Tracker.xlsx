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namedSheetViews/namedSheetView4.xml" ContentType="application/vnd.ms-excel.namedsheetviews+xml"/>
  <Override PartName="/xl/namedSheetViews/namedSheetView5.xml" ContentType="application/vnd.ms-excel.namedsheetviews+xml"/>
  <Override PartName="/xl/namedSheetViews/namedSheetView6.xml" ContentType="application/vnd.ms-excel.namedsheetviews+xml"/>
  <Override PartName="/xl/namedSheetViews/namedSheetView7.xml" ContentType="application/vnd.ms-excel.namedsheetviews+xml"/>
  <Override PartName="/xl/namedSheetViews/namedSheetView8.xml" ContentType="application/vnd.ms-excel.namedsheetviews+xml"/>
  <Override PartName="/xl/namedSheetViews/namedSheetView9.xml" ContentType="application/vnd.ms-excel.namedsheetviews+xml"/>
  <Override PartName="/xl/namedSheetViews/namedSheetView10.xml" ContentType="application/vnd.ms-excel.namedsheetview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sead98-my.sharepoint.com/personal/husn_shujaat_sead_ae/Documents/Sadafco Keeta Manual Data Tracker/"/>
    </mc:Choice>
  </mc:AlternateContent>
  <xr:revisionPtr revIDLastSave="0" documentId="8_{C775F81F-9826-45F0-9BDE-ABF0B2CC5503}" xr6:coauthVersionLast="47" xr6:coauthVersionMax="47" xr10:uidLastSave="{00000000-0000-0000-0000-000000000000}"/>
  <bookViews>
    <workbookView xWindow="-110" yWindow="-110" windowWidth="19420" windowHeight="11500" firstSheet="10" activeTab="10" xr2:uid="{55932B50-5B5B-874D-9475-0A2D2FBD545A}"/>
  </bookViews>
  <sheets>
    <sheet name="Locations Key" sheetId="11" r:id="rId1"/>
    <sheet name="Khobar - Danah" sheetId="1" r:id="rId2"/>
    <sheet name="Dammam - Dahran" sheetId="12" r:id="rId3"/>
    <sheet name="Jeddah - Falah" sheetId="13" r:id="rId4"/>
    <sheet name="Jeddah - Zahra" sheetId="14" r:id="rId5"/>
    <sheet name="Medina - Aridh" sheetId="15" r:id="rId6"/>
    <sheet name="Makkah - Batha" sheetId="16" r:id="rId7"/>
    <sheet name="Riyadh - Boulevard" sheetId="17" r:id="rId8"/>
    <sheet name="Riyadh - King Fahad" sheetId="18" r:id="rId9"/>
    <sheet name="Riyadh - Sahafah" sheetId="19" r:id="rId10"/>
    <sheet name="Riyadh - Yasmin" sheetId="20" r:id="rId11"/>
  </sheets>
  <definedNames>
    <definedName name="_xlnm._FilterDatabase" localSheetId="2" hidden="1">'Dammam - Dahran'!$B$18:$E$34</definedName>
    <definedName name="_xlnm._FilterDatabase" localSheetId="3" hidden="1">'Jeddah - Falah'!$B$18:$E$34</definedName>
    <definedName name="_xlnm._FilterDatabase" localSheetId="4" hidden="1">'Jeddah - Zahra'!$B$18:$E$34</definedName>
    <definedName name="_xlnm._FilterDatabase" localSheetId="1" hidden="1">'Khobar - Danah'!$B$18:$E$34</definedName>
    <definedName name="_xlnm._FilterDatabase" localSheetId="6" hidden="1">'Makkah - Batha'!$B$18:$E$34</definedName>
    <definedName name="_xlnm._FilterDatabase" localSheetId="5" hidden="1">'Medina - Aridh'!$B$18:$E$34</definedName>
    <definedName name="_xlnm._FilterDatabase" localSheetId="7" hidden="1">'Riyadh - Boulevard'!$B$18:$E$34</definedName>
    <definedName name="_xlnm._FilterDatabase" localSheetId="8" hidden="1">'Riyadh - King Fahad'!$B$18:$E$34</definedName>
    <definedName name="_xlnm._FilterDatabase" localSheetId="9" hidden="1">'Riyadh - Sahafah'!$B$18:$E$34</definedName>
    <definedName name="_xlnm._FilterDatabase" localSheetId="10" hidden="1">'Riyadh - Yasmin'!$B$18:$E$34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4" i="20" l="1"/>
  <c r="F29" i="20"/>
  <c r="F27" i="20"/>
  <c r="F16" i="20"/>
  <c r="F10" i="20"/>
  <c r="F34" i="19"/>
  <c r="F29" i="19"/>
  <c r="F27" i="19"/>
  <c r="F16" i="19"/>
  <c r="F10" i="19"/>
  <c r="F34" i="18"/>
  <c r="F29" i="18"/>
  <c r="F27" i="18"/>
  <c r="F16" i="18"/>
  <c r="F10" i="18"/>
  <c r="F34" i="17"/>
  <c r="F29" i="17"/>
  <c r="F27" i="17"/>
  <c r="F16" i="17"/>
  <c r="F10" i="17"/>
  <c r="F34" i="16"/>
  <c r="F29" i="16"/>
  <c r="F27" i="16"/>
  <c r="F16" i="16"/>
  <c r="F10" i="16"/>
  <c r="F34" i="15"/>
  <c r="F29" i="15"/>
  <c r="F27" i="15"/>
  <c r="F16" i="15"/>
  <c r="F10" i="15"/>
  <c r="F34" i="14"/>
  <c r="F29" i="14"/>
  <c r="F27" i="14"/>
  <c r="F16" i="14"/>
  <c r="F10" i="14"/>
  <c r="F34" i="13"/>
  <c r="F29" i="13"/>
  <c r="F27" i="13"/>
  <c r="F16" i="13"/>
  <c r="F10" i="13"/>
  <c r="F34" i="12"/>
  <c r="F29" i="12"/>
  <c r="F27" i="12"/>
  <c r="F16" i="12"/>
  <c r="F10" i="12"/>
  <c r="F34" i="1"/>
  <c r="F29" i="1"/>
  <c r="F27" i="1"/>
  <c r="F16" i="1"/>
  <c r="F10" i="1"/>
</calcChain>
</file>

<file path=xl/sharedStrings.xml><?xml version="1.0" encoding="utf-8"?>
<sst xmlns="http://schemas.openxmlformats.org/spreadsheetml/2006/main" count="456" uniqueCount="94">
  <si>
    <t>City</t>
  </si>
  <si>
    <t>Name</t>
  </si>
  <si>
    <t>Region</t>
  </si>
  <si>
    <t>LocCode</t>
  </si>
  <si>
    <t>Location</t>
  </si>
  <si>
    <t>Location Name</t>
  </si>
  <si>
    <t>Khobar</t>
  </si>
  <si>
    <t>Danah</t>
  </si>
  <si>
    <t>EAST</t>
  </si>
  <si>
    <t>ALK-DNH001</t>
  </si>
  <si>
    <t>https://maps.app.goo.gl/oKrzyMdDZKhLjsiE8</t>
  </si>
  <si>
    <t>Khobar Danah </t>
  </si>
  <si>
    <t>Dammam</t>
  </si>
  <si>
    <t>Dhahran</t>
  </si>
  <si>
    <t>DMM-DHR001</t>
  </si>
  <si>
    <t>https://maps.app.goo.gl/VNcrL7cdYWX7LC269</t>
  </si>
  <si>
    <t>Dammam Dhahran </t>
  </si>
  <si>
    <t>Jeddah</t>
  </si>
  <si>
    <t>Falah JED</t>
  </si>
  <si>
    <t>West</t>
  </si>
  <si>
    <t>JED-FLH001</t>
  </si>
  <si>
    <t>https://maps.app.goo.gl/vQK6BpHZrkUR39Af6</t>
  </si>
  <si>
    <t>Jeddah Falah  </t>
  </si>
  <si>
    <t>Zahra</t>
  </si>
  <si>
    <t>JED-ZAH001</t>
  </si>
  <si>
    <t>https://maps.app.goo.gl/siYb1qKE2beyps339</t>
  </si>
  <si>
    <t>Jeddah Zahra </t>
  </si>
  <si>
    <t>Medina</t>
  </si>
  <si>
    <t>Aridh MDN</t>
  </si>
  <si>
    <t>MDN-ARI001</t>
  </si>
  <si>
    <t>https://maps.app.goo.gl/7FdyD6y5CGjaXHjL6</t>
  </si>
  <si>
    <t>Medina Aridh  </t>
  </si>
  <si>
    <t>Makkah</t>
  </si>
  <si>
    <t>Batha Quraish</t>
  </si>
  <si>
    <t>MEC-BTH001</t>
  </si>
  <si>
    <t>https://maps.app.goo.gl/V8Hts9WXRxwYJktJ9</t>
  </si>
  <si>
    <t>Makkah Batha  </t>
  </si>
  <si>
    <t>Riyadh</t>
  </si>
  <si>
    <t>Boulevard</t>
  </si>
  <si>
    <t>RIYADH</t>
  </si>
  <si>
    <t>RUH-BLV001</t>
  </si>
  <si>
    <t>https://maps.app.goo.gl/sMBsy76D48DRpEuo6</t>
  </si>
  <si>
    <t>Riyadh Boulevard </t>
  </si>
  <si>
    <t>King Fahad</t>
  </si>
  <si>
    <t>RUH-KFH001</t>
  </si>
  <si>
    <t>https://maps.app.goo.gl/sLpZbED5cDq4Jwbb7</t>
  </si>
  <si>
    <t>Riyadh King Fahad </t>
  </si>
  <si>
    <t>Sahafah</t>
  </si>
  <si>
    <t>RUH-SAH001</t>
  </si>
  <si>
    <t>https://maps.app.goo.gl/6e1Hb34ZpXDwP2NAA</t>
  </si>
  <si>
    <t>Riyadh Sahafah </t>
  </si>
  <si>
    <t>Yasmin</t>
  </si>
  <si>
    <t>RUH-YAS001</t>
  </si>
  <si>
    <t>https://goo.gl/maps/Kzxnqp6S89tB1P2a9</t>
  </si>
  <si>
    <t>Riyadh Yasmin</t>
  </si>
  <si>
    <t>SKU</t>
  </si>
  <si>
    <t>Availability</t>
  </si>
  <si>
    <t>Price</t>
  </si>
  <si>
    <t>Discounted Price</t>
  </si>
  <si>
    <t>Discount Percentage</t>
  </si>
  <si>
    <t>Saudia Full Fat Milk 1L</t>
  </si>
  <si>
    <t>Unavailable</t>
  </si>
  <si>
    <t>Saudia Full Fat Milk 2L</t>
  </si>
  <si>
    <t>Available</t>
  </si>
  <si>
    <t>Saudia Full Fat Milk Promo Pack 12×1L</t>
  </si>
  <si>
    <t>Saudia Full Fat Milk Promo Pack 1L</t>
  </si>
  <si>
    <t>Saudia Full Fat Milk Promo Pack 2×1L</t>
  </si>
  <si>
    <t>Saudia Full Fat Milk Promo Pack 6×1L</t>
  </si>
  <si>
    <t>Saudia Full Fat Milk Promo Pack combo 4×1 liter</t>
  </si>
  <si>
    <t>Saudia Full Fat Whole Milk 500ml</t>
  </si>
  <si>
    <t>Saudia Whole Milk 24×125ml</t>
  </si>
  <si>
    <t>Saudia Whole Milk 24×200ml</t>
  </si>
  <si>
    <t>Saudia Whole Milk 4×1L</t>
  </si>
  <si>
    <t>Saudia Ice Cream Sandwich Strawberry Flavor 100ml</t>
  </si>
  <si>
    <t>Saudia Ice Cream Sandwich Vanilla Flavor 100ml</t>
  </si>
  <si>
    <t>Saudia Tomato Paste 135g</t>
  </si>
  <si>
    <t>Saudia Tomato Paste Box 8×135g</t>
  </si>
  <si>
    <t>Nadec milk 1l</t>
  </si>
  <si>
    <t>Nadec milk 250 ml</t>
  </si>
  <si>
    <t>Nadec milk 500 ml</t>
  </si>
  <si>
    <t>Almarai milk 1l</t>
  </si>
  <si>
    <t>Almarai milk 250 ml</t>
  </si>
  <si>
    <t>Almarai milk 500 ml</t>
  </si>
  <si>
    <t>Al Safi milk 1l</t>
  </si>
  <si>
    <t>Al Safi milk 250 ml</t>
  </si>
  <si>
    <t>Al Safi milk 500 ml</t>
  </si>
  <si>
    <t>Lays Ketchup 155g</t>
  </si>
  <si>
    <t>Al Batal Ketchup 110g</t>
  </si>
  <si>
    <t>Pringles Ketchup 200g</t>
  </si>
  <si>
    <t>Baskin Robbins Ice Cream Chocolate Cup 120 ml</t>
  </si>
  <si>
    <t>Kwality Chocolate Cup Ice Cream 125ml</t>
  </si>
  <si>
    <t>Nada Fresh Plain Zero Fat Greek Yoghurt 160g</t>
  </si>
  <si>
    <t>Luna Evaporated Milk 170g</t>
  </si>
  <si>
    <t>Al Alali Pizza Sauce Original Italian Recipe 320g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</si>
</sst>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9" fontId="0" fillId="2" borderId="0" xfId="0" applyNumberFormat="1" applyFill="1"/>
    <xf numFmtId="0" fontId="0" fillId="2" borderId="1" xfId="0" applyFill="1" applyBorder="1"/>
    <xf numFmtId="9" fontId="0" fillId="2" borderId="1" xfId="0" applyNumberFormat="1" applyFill="1" applyBorder="1"/>
    <xf numFmtId="0" fontId="1" fillId="2" borderId="1" xfId="0" applyFont="1" applyFill="1" applyBorder="1"/>
    <xf numFmtId="0" fontId="5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77910A0-DB7D-4832-9CA4-B5E15C80A7A2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BAA835B-B427-4DDD-A85D-9DF8048B8A1E}"/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B67E30B-4A7F-4541-B71A-0BAE2DAF20FB}"/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E918239-267C-40E9-A84E-53F13A229BFB}"/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B2478D7-6EA0-407E-B5FC-9F5D8FAA48C3}"/>
</namedSheetViews>
</file>

<file path=xl/namedSheetViews/namedSheetView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7E211AA-FAE3-4545-B625-8D80BF14600D}"/>
</namedSheetViews>
</file>

<file path=xl/namedSheetViews/namedSheetView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8E5BBE3B-B75A-4908-B6D8-225C4B16E236}"/>
</namedSheetViews>
</file>

<file path=xl/namedSheetViews/namedSheetView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CA57208-C456-41D4-AB5F-9A523A406ED5}"/>
</namedSheetViews>
</file>

<file path=xl/namedSheetViews/namedSheetView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E487B73-F442-4C55-96AB-53B49FCB8F8E}"/>
</namedSheetViews>
</file>

<file path=xl/namedSheetViews/namedSheetView1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FEEF59B-816D-453E-AA00-AA9EEF667132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sLpZbED5cDq4Jwbb7" TargetMode="External"/><Relationship Id="rId3" Type="http://schemas.openxmlformats.org/officeDocument/2006/relationships/hyperlink" Target="https://maps.app.goo.gl/vQK6BpHZrkUR39Af6" TargetMode="External"/><Relationship Id="rId7" Type="http://schemas.openxmlformats.org/officeDocument/2006/relationships/hyperlink" Target="https://maps.app.goo.gl/sMBsy76D48DRpEuo6" TargetMode="External"/><Relationship Id="rId2" Type="http://schemas.openxmlformats.org/officeDocument/2006/relationships/hyperlink" Target="https://maps.app.goo.gl/VNcrL7cdYWX7LC269" TargetMode="External"/><Relationship Id="rId1" Type="http://schemas.openxmlformats.org/officeDocument/2006/relationships/hyperlink" Target="https://maps.app.goo.gl/oKrzyMdDZKhLjsiE8" TargetMode="External"/><Relationship Id="rId6" Type="http://schemas.openxmlformats.org/officeDocument/2006/relationships/hyperlink" Target="https://maps.app.goo.gl/V8Hts9WXRxwYJktJ9" TargetMode="External"/><Relationship Id="rId5" Type="http://schemas.openxmlformats.org/officeDocument/2006/relationships/hyperlink" Target="https://maps.app.goo.gl/7FdyD6y5CGjaXHjL6" TargetMode="External"/><Relationship Id="rId10" Type="http://schemas.openxmlformats.org/officeDocument/2006/relationships/hyperlink" Target="https://goo.gl/maps/Kzxnqp6S89tB1P2a9" TargetMode="External"/><Relationship Id="rId4" Type="http://schemas.openxmlformats.org/officeDocument/2006/relationships/hyperlink" Target="https://maps.app.goo.gl/siYb1qKE2beyps339" TargetMode="External"/><Relationship Id="rId9" Type="http://schemas.openxmlformats.org/officeDocument/2006/relationships/hyperlink" Target="https://maps.app.goo.gl/6e1Hb34ZpXDwP2NA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4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3.xml"/></Relationships>
</file>

<file path=xl/worksheets/_rels/sheet5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4.xml"/></Relationships>
</file>

<file path=xl/worksheets/_rels/sheet6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5.xml"/></Relationships>
</file>

<file path=xl/worksheets/_rels/sheet7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6.xml"/></Relationships>
</file>

<file path=xl/worksheets/_rels/sheet8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7.xml"/></Relationships>
</file>

<file path=xl/worksheets/_rels/sheet9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8.xml"/></Relationships>
</file>

<file path=xl/worksheets/_rels/sheet10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9.xml"/></Relationships>
</file>

<file path=xl/worksheets/_rels/sheet1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EF9C8-FE6B-4626-BD20-5D828D4FA0C7}">
  <dimension ref="B3:J25"/>
  <sheetViews>
    <sheetView workbookViewId="0">
      <selection activeCell="F13" sqref="F13"/>
    </sheetView>
  </sheetViews>
  <sheetFormatPr defaultRowHeight="15.75"/>
  <cols>
    <col min="1" max="1" width="9" style="1"/>
    <col min="2" max="5" width="20.625" style="14" customWidth="1"/>
    <col min="6" max="6" width="40.125" style="14" bestFit="1" customWidth="1"/>
    <col min="7" max="7" width="20.625" style="14" customWidth="1"/>
    <col min="8" max="16384" width="9" style="1"/>
  </cols>
  <sheetData>
    <row r="3" spans="2:10" ht="15" customHeight="1">
      <c r="B3" s="9" t="s">
        <v>0</v>
      </c>
      <c r="C3" s="9" t="s">
        <v>1</v>
      </c>
      <c r="D3" s="10" t="s">
        <v>2</v>
      </c>
      <c r="E3" s="9" t="s">
        <v>3</v>
      </c>
      <c r="F3" s="7" t="s">
        <v>4</v>
      </c>
      <c r="G3" s="7" t="s">
        <v>5</v>
      </c>
    </row>
    <row r="4" spans="2:10" ht="15" customHeight="1">
      <c r="B4" s="11" t="s">
        <v>6</v>
      </c>
      <c r="C4" s="11" t="s">
        <v>7</v>
      </c>
      <c r="D4" s="12" t="s">
        <v>8</v>
      </c>
      <c r="E4" s="11" t="s">
        <v>9</v>
      </c>
      <c r="F4" s="13" t="s">
        <v>10</v>
      </c>
      <c r="G4" s="11" t="s">
        <v>11</v>
      </c>
    </row>
    <row r="5" spans="2:10" ht="15" customHeight="1">
      <c r="B5" s="11" t="s">
        <v>12</v>
      </c>
      <c r="C5" s="11" t="s">
        <v>13</v>
      </c>
      <c r="D5" s="12" t="s">
        <v>8</v>
      </c>
      <c r="E5" s="11" t="s">
        <v>14</v>
      </c>
      <c r="F5" s="13" t="s">
        <v>15</v>
      </c>
      <c r="G5" s="11" t="s">
        <v>16</v>
      </c>
    </row>
    <row r="6" spans="2:10" ht="15" customHeight="1">
      <c r="B6" s="11" t="s">
        <v>17</v>
      </c>
      <c r="C6" s="11" t="s">
        <v>18</v>
      </c>
      <c r="D6" s="12" t="s">
        <v>19</v>
      </c>
      <c r="E6" s="11" t="s">
        <v>20</v>
      </c>
      <c r="F6" s="13" t="s">
        <v>21</v>
      </c>
      <c r="G6" s="11" t="s">
        <v>22</v>
      </c>
    </row>
    <row r="7" spans="2:10" ht="15" customHeight="1">
      <c r="B7" s="11" t="s">
        <v>17</v>
      </c>
      <c r="C7" s="11" t="s">
        <v>23</v>
      </c>
      <c r="D7" s="12" t="s">
        <v>19</v>
      </c>
      <c r="E7" s="11" t="s">
        <v>24</v>
      </c>
      <c r="F7" s="13" t="s">
        <v>25</v>
      </c>
      <c r="G7" s="11" t="s">
        <v>26</v>
      </c>
    </row>
    <row r="8" spans="2:10" ht="15" customHeight="1">
      <c r="B8" s="11" t="s">
        <v>27</v>
      </c>
      <c r="C8" s="11" t="s">
        <v>28</v>
      </c>
      <c r="D8" s="12" t="s">
        <v>19</v>
      </c>
      <c r="E8" s="11" t="s">
        <v>29</v>
      </c>
      <c r="F8" s="13" t="s">
        <v>30</v>
      </c>
      <c r="G8" s="11" t="s">
        <v>31</v>
      </c>
    </row>
    <row r="9" spans="2:10" ht="15" customHeight="1">
      <c r="B9" s="11" t="s">
        <v>32</v>
      </c>
      <c r="C9" s="11" t="s">
        <v>33</v>
      </c>
      <c r="D9" s="12" t="s">
        <v>19</v>
      </c>
      <c r="E9" s="11" t="s">
        <v>34</v>
      </c>
      <c r="F9" s="13" t="s">
        <v>35</v>
      </c>
      <c r="G9" s="11" t="s">
        <v>36</v>
      </c>
    </row>
    <row r="10" spans="2:10" ht="15" customHeight="1">
      <c r="B10" s="11" t="s">
        <v>37</v>
      </c>
      <c r="C10" s="11" t="s">
        <v>38</v>
      </c>
      <c r="D10" s="12" t="s">
        <v>39</v>
      </c>
      <c r="E10" s="11" t="s">
        <v>40</v>
      </c>
      <c r="F10" s="13" t="s">
        <v>41</v>
      </c>
      <c r="G10" s="11" t="s">
        <v>42</v>
      </c>
    </row>
    <row r="11" spans="2:10" ht="15" customHeight="1">
      <c r="B11" s="11" t="s">
        <v>37</v>
      </c>
      <c r="C11" s="11" t="s">
        <v>43</v>
      </c>
      <c r="D11" s="12" t="s">
        <v>39</v>
      </c>
      <c r="E11" s="11" t="s">
        <v>44</v>
      </c>
      <c r="F11" s="13" t="s">
        <v>45</v>
      </c>
      <c r="G11" s="11" t="s">
        <v>46</v>
      </c>
    </row>
    <row r="12" spans="2:10" ht="15" customHeight="1">
      <c r="B12" s="11" t="s">
        <v>37</v>
      </c>
      <c r="C12" s="11" t="s">
        <v>47</v>
      </c>
      <c r="D12" s="12" t="s">
        <v>39</v>
      </c>
      <c r="E12" s="11" t="s">
        <v>48</v>
      </c>
      <c r="F12" s="13" t="s">
        <v>49</v>
      </c>
      <c r="G12" s="11" t="s">
        <v>50</v>
      </c>
    </row>
    <row r="13" spans="2:10" ht="15" customHeight="1">
      <c r="B13" s="11" t="s">
        <v>37</v>
      </c>
      <c r="C13" s="11" t="s">
        <v>51</v>
      </c>
      <c r="D13" s="12" t="s">
        <v>39</v>
      </c>
      <c r="E13" s="11" t="s">
        <v>52</v>
      </c>
      <c r="F13" s="13" t="s">
        <v>53</v>
      </c>
      <c r="G13" s="11" t="s">
        <v>54</v>
      </c>
    </row>
    <row r="16" spans="2:10">
      <c r="J16" s="15"/>
    </row>
    <row r="17" spans="10:10">
      <c r="J17" s="15"/>
    </row>
    <row r="18" spans="10:10">
      <c r="J18" s="15"/>
    </row>
    <row r="19" spans="10:10">
      <c r="J19" s="15"/>
    </row>
    <row r="20" spans="10:10">
      <c r="J20" s="15"/>
    </row>
    <row r="21" spans="10:10">
      <c r="J21" s="15"/>
    </row>
    <row r="22" spans="10:10">
      <c r="J22" s="15"/>
    </row>
    <row r="23" spans="10:10">
      <c r="J23" s="15"/>
    </row>
    <row r="24" spans="10:10">
      <c r="J24" s="15"/>
    </row>
    <row r="25" spans="10:10">
      <c r="J25" s="15"/>
    </row>
  </sheetData>
  <hyperlinks>
    <hyperlink ref="F4" r:id="rId1" xr:uid="{33C41398-091A-46DD-A04E-A76421685BC2}"/>
    <hyperlink ref="F5" r:id="rId2" xr:uid="{F8449C6D-D9B8-4AC5-B928-F45343B05BE0}"/>
    <hyperlink ref="F6" r:id="rId3" xr:uid="{AF30180F-338D-4E05-BC57-32AA53D1E547}"/>
    <hyperlink ref="F7" r:id="rId4" xr:uid="{CB15AD15-E35E-490E-97C8-B6D6163F8FE7}"/>
    <hyperlink ref="F8" r:id="rId5" xr:uid="{2C0A0391-8A0F-4C6F-AA85-0ACA8EA0F915}"/>
    <hyperlink ref="F9" r:id="rId6" xr:uid="{0A9EB4FD-5204-450C-968E-1B4A54756DD8}"/>
    <hyperlink ref="F10" r:id="rId7" xr:uid="{20C8A485-EA5A-48D2-B2F3-91424E19678D}"/>
    <hyperlink ref="F11" r:id="rId8" xr:uid="{32B83120-944F-455B-8DA5-9672DB702CD9}"/>
    <hyperlink ref="F12" r:id="rId9" xr:uid="{E306421B-A4BE-410A-BB55-BC523CD5FAB3}"/>
    <hyperlink ref="F13" r:id="rId10" xr:uid="{FA29A847-543D-4C5F-A9F4-9FEA5DBA8E8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AC41-B754-A141-B026-6D395D7D7C80}">
  <dimension ref="B1:I45"/>
  <sheetViews>
    <sheetView workbookViewId="0">
      <pane ySplit="1" topLeftCell="A2" activePane="bottomLeft" state="frozen"/>
      <selection pane="bottomLeft"/>
    </sheetView>
  </sheetViews>
  <sheetFormatPr defaultColWidth="10.625" defaultRowHeight="15.75" customHeight="1"/>
  <cols>
    <col min="1" max="1" width="10.625" style="1"/>
    <col min="2" max="2" width="40.375" style="1" customWidth="1"/>
    <col min="3" max="5" width="20.625" style="1" customWidth="1"/>
    <col min="6" max="6" width="20.625" style="2" customWidth="1"/>
    <col min="7" max="10" width="10.625" style="1"/>
    <col min="11" max="11" width="43.875" style="1" bestFit="1" customWidth="1"/>
    <col min="12" max="15" width="14.75" style="1" customWidth="1"/>
    <col min="16" max="16384" width="10.625" style="1"/>
  </cols>
  <sheetData>
    <row r="1" spans="2:9">
      <c r="B1" s="7" t="s">
        <v>55</v>
      </c>
      <c r="C1" s="7" t="s">
        <v>56</v>
      </c>
      <c r="D1" s="7" t="s">
        <v>57</v>
      </c>
      <c r="E1" s="7" t="s">
        <v>58</v>
      </c>
      <c r="F1" s="8" t="s">
        <v>59</v>
      </c>
    </row>
    <row r="2" spans="2:9">
      <c r="B2" s="5" t="s">
        <v>60</v>
      </c>
      <c r="C2" s="3">
        <v>0</v>
      </c>
      <c r="D2" s="3">
        <v>6.5</v>
      </c>
      <c r="E2" s="3"/>
      <c r="F2" s="4">
        <v>0</v>
      </c>
      <c r="H2" s="1">
        <v>0</v>
      </c>
      <c r="I2" s="1" t="s">
        <v>61</v>
      </c>
    </row>
    <row r="3" spans="2:9">
      <c r="B3" s="5" t="s">
        <v>62</v>
      </c>
      <c r="C3" s="3">
        <v>0</v>
      </c>
      <c r="D3" s="3">
        <v>11.5</v>
      </c>
      <c r="E3" s="3"/>
      <c r="F3" s="4">
        <v>0</v>
      </c>
      <c r="H3" s="1">
        <v>1</v>
      </c>
      <c r="I3" s="1" t="s">
        <v>63</v>
      </c>
    </row>
    <row r="4" spans="2:9">
      <c r="B4" s="5" t="s">
        <v>64</v>
      </c>
      <c r="C4" s="3">
        <v>1</v>
      </c>
      <c r="D4" s="3">
        <v>72</v>
      </c>
      <c r="E4" s="3"/>
      <c r="F4" s="4">
        <v>0</v>
      </c>
    </row>
    <row r="5" spans="2:9">
      <c r="B5" s="5" t="s">
        <v>65</v>
      </c>
      <c r="C5" s="3">
        <v>1</v>
      </c>
      <c r="D5" s="3">
        <v>6</v>
      </c>
      <c r="E5" s="3"/>
      <c r="F5" s="4">
        <v>0</v>
      </c>
    </row>
    <row r="6" spans="2:9">
      <c r="B6" s="5" t="s">
        <v>66</v>
      </c>
      <c r="C6" s="3">
        <v>0</v>
      </c>
      <c r="D6" s="3"/>
      <c r="E6" s="3"/>
      <c r="F6" s="4">
        <v>0</v>
      </c>
    </row>
    <row r="7" spans="2:9">
      <c r="B7" s="5" t="s">
        <v>67</v>
      </c>
      <c r="C7" s="3">
        <v>0</v>
      </c>
      <c r="D7" s="3"/>
      <c r="E7" s="3"/>
      <c r="F7" s="4">
        <v>0</v>
      </c>
    </row>
    <row r="8" spans="2:9">
      <c r="B8" s="5" t="s">
        <v>68</v>
      </c>
      <c r="C8" s="3">
        <v>0</v>
      </c>
      <c r="D8" s="3"/>
      <c r="E8" s="3"/>
      <c r="F8" s="4">
        <v>0</v>
      </c>
    </row>
    <row r="9" spans="2:9">
      <c r="B9" s="5" t="s">
        <v>69</v>
      </c>
      <c r="C9" s="3">
        <v>1</v>
      </c>
      <c r="D9" s="3">
        <v>4</v>
      </c>
      <c r="E9" s="3"/>
      <c r="F9" s="4">
        <v>0</v>
      </c>
    </row>
    <row r="10" spans="2:9">
      <c r="B10" s="5" t="s">
        <v>70</v>
      </c>
      <c r="C10" s="3">
        <v>1</v>
      </c>
      <c r="D10" s="3">
        <v>31.5</v>
      </c>
      <c r="E10" s="3">
        <v>25.75</v>
      </c>
      <c r="F10" s="4">
        <f t="shared" ref="F10:F24" si="0">(D10-E10)/D10</f>
        <v>0.18253968253968253</v>
      </c>
    </row>
    <row r="11" spans="2:9">
      <c r="B11" s="5" t="s">
        <v>71</v>
      </c>
      <c r="C11" s="3">
        <v>1</v>
      </c>
      <c r="D11" s="3">
        <v>48.95</v>
      </c>
      <c r="E11" s="3"/>
      <c r="F11" s="4">
        <v>0</v>
      </c>
    </row>
    <row r="12" spans="2:9">
      <c r="B12" s="5" t="s">
        <v>72</v>
      </c>
      <c r="C12" s="3">
        <v>0</v>
      </c>
      <c r="D12" s="3">
        <v>25.95</v>
      </c>
      <c r="E12" s="3"/>
      <c r="F12" s="4">
        <v>0</v>
      </c>
    </row>
    <row r="13" spans="2:9">
      <c r="B13" s="5" t="s">
        <v>73</v>
      </c>
      <c r="C13" s="3">
        <v>0</v>
      </c>
      <c r="D13" s="3"/>
      <c r="E13" s="3"/>
      <c r="F13" s="4">
        <v>0</v>
      </c>
    </row>
    <row r="14" spans="2:9">
      <c r="B14" s="5" t="s">
        <v>74</v>
      </c>
      <c r="C14" s="5">
        <v>1</v>
      </c>
      <c r="D14" s="3">
        <v>2.95</v>
      </c>
      <c r="E14" s="3"/>
      <c r="F14" s="4">
        <v>0</v>
      </c>
    </row>
    <row r="15" spans="2:9">
      <c r="B15" s="5" t="s">
        <v>75</v>
      </c>
      <c r="C15" s="3">
        <v>0</v>
      </c>
      <c r="D15" s="3"/>
      <c r="E15" s="3"/>
      <c r="F15" s="4">
        <v>0</v>
      </c>
    </row>
    <row r="16" spans="2:9">
      <c r="B16" s="5" t="s">
        <v>76</v>
      </c>
      <c r="C16" s="3">
        <v>1</v>
      </c>
      <c r="D16" s="3">
        <v>15.95</v>
      </c>
      <c r="E16" s="3">
        <v>11.95</v>
      </c>
      <c r="F16" s="4">
        <f t="shared" si="0"/>
        <v>0.25078369905956116</v>
      </c>
    </row>
    <row r="17" spans="2:6">
      <c r="D17" s="3"/>
    </row>
    <row r="18" spans="2:6">
      <c r="B18" s="3" t="s">
        <v>77</v>
      </c>
      <c r="C18" s="3">
        <v>0</v>
      </c>
      <c r="D18" s="3">
        <v>6.5</v>
      </c>
      <c r="E18" s="3"/>
      <c r="F18" s="4">
        <v>0</v>
      </c>
    </row>
    <row r="19" spans="2:6">
      <c r="B19" s="3" t="s">
        <v>78</v>
      </c>
      <c r="C19" s="3">
        <v>0</v>
      </c>
      <c r="D19" s="3"/>
      <c r="E19" s="3"/>
      <c r="F19" s="4">
        <v>0</v>
      </c>
    </row>
    <row r="20" spans="2:6">
      <c r="B20" s="3" t="s">
        <v>79</v>
      </c>
      <c r="C20" s="3">
        <v>0</v>
      </c>
      <c r="D20" s="3"/>
      <c r="E20" s="3"/>
      <c r="F20" s="4">
        <v>0</v>
      </c>
    </row>
    <row r="21" spans="2:6">
      <c r="B21" s="3" t="s">
        <v>80</v>
      </c>
      <c r="C21" s="3">
        <v>1</v>
      </c>
      <c r="D21" s="3">
        <v>6.5</v>
      </c>
      <c r="E21" s="3"/>
      <c r="F21" s="4">
        <v>0</v>
      </c>
    </row>
    <row r="22" spans="2:6">
      <c r="B22" s="3" t="s">
        <v>81</v>
      </c>
      <c r="C22" s="3">
        <v>0</v>
      </c>
      <c r="D22" s="3"/>
      <c r="E22" s="3"/>
      <c r="F22" s="4">
        <v>0</v>
      </c>
    </row>
    <row r="23" spans="2:6">
      <c r="B23" s="3" t="s">
        <v>82</v>
      </c>
      <c r="C23" s="3">
        <v>1</v>
      </c>
      <c r="D23" s="3">
        <v>4</v>
      </c>
      <c r="E23" s="3"/>
      <c r="F23" s="4">
        <v>0</v>
      </c>
    </row>
    <row r="24" spans="2:6">
      <c r="B24" s="3" t="s">
        <v>83</v>
      </c>
      <c r="C24" s="3">
        <v>0</v>
      </c>
      <c r="D24" s="3">
        <v>6.25</v>
      </c>
      <c r="E24" s="3"/>
      <c r="F24" s="4">
        <v>0</v>
      </c>
    </row>
    <row r="25" spans="2:6">
      <c r="B25" s="3" t="s">
        <v>84</v>
      </c>
      <c r="C25" s="3">
        <v>0</v>
      </c>
      <c r="D25" s="3"/>
      <c r="E25" s="3"/>
      <c r="F25" s="4">
        <v>0</v>
      </c>
    </row>
    <row r="26" spans="2:6">
      <c r="B26" s="3" t="s">
        <v>85</v>
      </c>
      <c r="C26" s="3">
        <v>0</v>
      </c>
      <c r="D26" s="3"/>
      <c r="E26" s="3"/>
      <c r="F26" s="4">
        <v>0</v>
      </c>
    </row>
    <row r="27" spans="2:6">
      <c r="B27" s="3" t="s">
        <v>86</v>
      </c>
      <c r="C27" s="3">
        <v>0</v>
      </c>
      <c r="D27" s="3">
        <v>8.9499999999999993</v>
      </c>
      <c r="E27" s="3">
        <v>5.79</v>
      </c>
      <c r="F27" s="4">
        <f t="shared" ref="F27:F34" si="1">(D27-E27)/D27</f>
        <v>0.35307262569832398</v>
      </c>
    </row>
    <row r="28" spans="2:6">
      <c r="B28" s="3" t="s">
        <v>87</v>
      </c>
      <c r="C28" s="3">
        <v>1</v>
      </c>
      <c r="D28" s="3">
        <v>4.95</v>
      </c>
      <c r="E28" s="3"/>
      <c r="F28" s="4">
        <v>0</v>
      </c>
    </row>
    <row r="29" spans="2:6">
      <c r="B29" s="3" t="s">
        <v>88</v>
      </c>
      <c r="C29" s="3">
        <v>1</v>
      </c>
      <c r="D29" s="3">
        <v>17.95</v>
      </c>
      <c r="E29" s="3">
        <v>15.25</v>
      </c>
      <c r="F29" s="4">
        <f t="shared" si="1"/>
        <v>0.15041782729805012</v>
      </c>
    </row>
    <row r="30" spans="2:6">
      <c r="B30" s="3" t="s">
        <v>89</v>
      </c>
      <c r="C30" s="3">
        <v>1</v>
      </c>
      <c r="D30" s="3">
        <v>9.9499999999999993</v>
      </c>
      <c r="E30" s="3"/>
      <c r="F30" s="4">
        <v>0</v>
      </c>
    </row>
    <row r="31" spans="2:6">
      <c r="B31" s="6" t="s">
        <v>90</v>
      </c>
      <c r="C31" s="3">
        <v>1</v>
      </c>
      <c r="D31" s="3">
        <v>4</v>
      </c>
      <c r="E31" s="3"/>
      <c r="F31" s="4">
        <v>0</v>
      </c>
    </row>
    <row r="32" spans="2:6">
      <c r="B32" s="3" t="s">
        <v>91</v>
      </c>
      <c r="C32" s="3">
        <v>0</v>
      </c>
      <c r="D32" s="3">
        <v>5.95</v>
      </c>
      <c r="E32" s="3"/>
      <c r="F32" s="4">
        <v>0</v>
      </c>
    </row>
    <row r="33" spans="2:6">
      <c r="B33" s="3" t="s">
        <v>92</v>
      </c>
      <c r="C33" s="3">
        <v>1</v>
      </c>
      <c r="D33" s="3">
        <v>4.5</v>
      </c>
      <c r="E33" s="3"/>
      <c r="F33" s="4">
        <v>0</v>
      </c>
    </row>
    <row r="34" spans="2:6">
      <c r="B34" s="3" t="s">
        <v>93</v>
      </c>
      <c r="C34" s="3">
        <v>1</v>
      </c>
      <c r="D34" s="3">
        <v>13.95</v>
      </c>
      <c r="E34" s="3">
        <v>11.95</v>
      </c>
      <c r="F34" s="4">
        <f t="shared" si="1"/>
        <v>0.14336917562724016</v>
      </c>
    </row>
    <row r="35" spans="2:6"/>
    <row r="36" spans="2:6"/>
    <row r="37" spans="2:6"/>
    <row r="38" spans="2:6"/>
    <row r="39" spans="2:6"/>
    <row r="40" spans="2:6"/>
    <row r="41" spans="2:6"/>
    <row r="42" spans="2:6"/>
    <row r="43" spans="2:6"/>
    <row r="44" spans="2:6"/>
    <row r="45" spans="2:6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F946-8CA6-4DB9-8CE2-B523528DECED}">
  <dimension ref="B1:I45"/>
  <sheetViews>
    <sheetView workbookViewId="0">
      <pane ySplit="1" topLeftCell="A12" activePane="bottomLeft" state="frozen"/>
      <selection pane="bottomLeft"/>
    </sheetView>
  </sheetViews>
  <sheetFormatPr defaultColWidth="10.625" defaultRowHeight="15.75" customHeight="1"/>
  <cols>
    <col min="1" max="1" width="9" style="1" bestFit="1" customWidth="1"/>
    <col min="2" max="2" width="40.375" style="1" customWidth="1"/>
    <col min="3" max="5" width="20.625" style="1" customWidth="1"/>
    <col min="6" max="6" width="20.625" style="2" customWidth="1"/>
    <col min="7" max="10" width="9" style="1" bestFit="1" customWidth="1"/>
    <col min="11" max="11" width="43.875" style="1" bestFit="1" customWidth="1"/>
    <col min="12" max="15" width="14.75" style="1" customWidth="1"/>
    <col min="16" max="16384" width="10.625" style="1"/>
  </cols>
  <sheetData>
    <row r="1" spans="2:9">
      <c r="B1" s="7" t="s">
        <v>55</v>
      </c>
      <c r="C1" s="7" t="s">
        <v>56</v>
      </c>
      <c r="D1" s="7" t="s">
        <v>57</v>
      </c>
      <c r="E1" s="7" t="s">
        <v>58</v>
      </c>
      <c r="F1" s="8" t="s">
        <v>59</v>
      </c>
    </row>
    <row r="2" spans="2:9">
      <c r="B2" s="5" t="s">
        <v>60</v>
      </c>
      <c r="C2" s="3">
        <v>0</v>
      </c>
      <c r="D2" s="3">
        <v>6.5</v>
      </c>
      <c r="E2" s="3"/>
      <c r="F2" s="4">
        <v>0</v>
      </c>
      <c r="H2" s="1">
        <v>0</v>
      </c>
      <c r="I2" s="1" t="s">
        <v>61</v>
      </c>
    </row>
    <row r="3" spans="2:9">
      <c r="B3" s="5" t="s">
        <v>62</v>
      </c>
      <c r="C3" s="3">
        <v>1</v>
      </c>
      <c r="D3" s="3">
        <v>11.5</v>
      </c>
      <c r="E3" s="3"/>
      <c r="F3" s="4">
        <v>0</v>
      </c>
      <c r="H3" s="1">
        <v>1</v>
      </c>
      <c r="I3" s="1" t="s">
        <v>63</v>
      </c>
    </row>
    <row r="4" spans="2:9">
      <c r="B4" s="5" t="s">
        <v>64</v>
      </c>
      <c r="C4" s="3">
        <v>1</v>
      </c>
      <c r="D4" s="3">
        <v>72</v>
      </c>
      <c r="E4" s="3"/>
      <c r="F4" s="4">
        <v>0</v>
      </c>
    </row>
    <row r="5" spans="2:9">
      <c r="B5" s="5" t="s">
        <v>65</v>
      </c>
      <c r="C5" s="3">
        <v>1</v>
      </c>
      <c r="D5" s="3">
        <v>6</v>
      </c>
      <c r="E5" s="3"/>
      <c r="F5" s="4">
        <v>0</v>
      </c>
    </row>
    <row r="6" spans="2:9">
      <c r="B6" s="5" t="s">
        <v>66</v>
      </c>
      <c r="C6" s="3">
        <v>0</v>
      </c>
      <c r="D6" s="3"/>
      <c r="E6" s="3"/>
      <c r="F6" s="4">
        <v>0</v>
      </c>
    </row>
    <row r="7" spans="2:9">
      <c r="B7" s="5" t="s">
        <v>67</v>
      </c>
      <c r="C7" s="3">
        <v>0</v>
      </c>
      <c r="D7" s="3"/>
      <c r="E7" s="3"/>
      <c r="F7" s="4">
        <v>0</v>
      </c>
    </row>
    <row r="8" spans="2:9">
      <c r="B8" s="5" t="s">
        <v>68</v>
      </c>
      <c r="C8" s="3">
        <v>0</v>
      </c>
      <c r="D8" s="3"/>
      <c r="E8" s="3"/>
      <c r="F8" s="4">
        <v>0</v>
      </c>
    </row>
    <row r="9" spans="2:9">
      <c r="B9" s="5" t="s">
        <v>69</v>
      </c>
      <c r="C9" s="3">
        <v>1</v>
      </c>
      <c r="D9" s="3">
        <v>4</v>
      </c>
      <c r="E9" s="3"/>
      <c r="F9" s="4">
        <v>0</v>
      </c>
    </row>
    <row r="10" spans="2:9">
      <c r="B10" s="5" t="s">
        <v>70</v>
      </c>
      <c r="C10" s="3">
        <v>1</v>
      </c>
      <c r="D10" s="3">
        <v>31.5</v>
      </c>
      <c r="E10" s="3">
        <v>25.75</v>
      </c>
      <c r="F10" s="4">
        <f t="shared" ref="F10:F24" si="0">(D10-E10)/D10</f>
        <v>0.18253968253968253</v>
      </c>
    </row>
    <row r="11" spans="2:9">
      <c r="B11" s="5" t="s">
        <v>71</v>
      </c>
      <c r="C11" s="3">
        <v>1</v>
      </c>
      <c r="D11" s="3">
        <v>48.95</v>
      </c>
      <c r="E11" s="3"/>
      <c r="F11" s="4">
        <v>0</v>
      </c>
    </row>
    <row r="12" spans="2:9">
      <c r="B12" s="5" t="s">
        <v>72</v>
      </c>
      <c r="C12" s="3">
        <v>1</v>
      </c>
      <c r="D12" s="3">
        <v>25.95</v>
      </c>
      <c r="E12" s="3"/>
      <c r="F12" s="4">
        <v>0</v>
      </c>
    </row>
    <row r="13" spans="2:9">
      <c r="B13" s="5" t="s">
        <v>73</v>
      </c>
      <c r="C13" s="3">
        <v>0</v>
      </c>
      <c r="D13" s="3"/>
      <c r="E13" s="3"/>
      <c r="F13" s="4">
        <v>0</v>
      </c>
    </row>
    <row r="14" spans="2:9">
      <c r="B14" s="5" t="s">
        <v>74</v>
      </c>
      <c r="C14" s="3">
        <v>1</v>
      </c>
      <c r="D14" s="3">
        <v>2.95</v>
      </c>
      <c r="E14" s="3"/>
      <c r="F14" s="4">
        <v>0</v>
      </c>
    </row>
    <row r="15" spans="2:9">
      <c r="B15" s="5" t="s">
        <v>75</v>
      </c>
      <c r="C15" s="3">
        <v>0</v>
      </c>
      <c r="D15" s="3"/>
      <c r="E15" s="3"/>
      <c r="F15" s="4">
        <v>0</v>
      </c>
    </row>
    <row r="16" spans="2:9">
      <c r="B16" s="5" t="s">
        <v>76</v>
      </c>
      <c r="C16" s="3">
        <v>1</v>
      </c>
      <c r="D16" s="3">
        <v>15.95</v>
      </c>
      <c r="E16" s="3">
        <v>11.95</v>
      </c>
      <c r="F16" s="4">
        <f t="shared" si="0"/>
        <v>0.25078369905956116</v>
      </c>
    </row>
    <row r="17" spans="2:6">
      <c r="D17" s="3"/>
    </row>
    <row r="18" spans="2:6">
      <c r="B18" s="3" t="s">
        <v>77</v>
      </c>
      <c r="C18" s="3">
        <v>1</v>
      </c>
      <c r="D18" s="3">
        <v>6.5</v>
      </c>
      <c r="E18" s="3"/>
      <c r="F18" s="4">
        <v>0</v>
      </c>
    </row>
    <row r="19" spans="2:6">
      <c r="B19" s="3" t="s">
        <v>78</v>
      </c>
      <c r="C19" s="3">
        <v>0</v>
      </c>
      <c r="D19" s="3"/>
      <c r="E19" s="3"/>
      <c r="F19" s="4">
        <v>0</v>
      </c>
    </row>
    <row r="20" spans="2:6">
      <c r="B20" s="3" t="s">
        <v>79</v>
      </c>
      <c r="C20" s="3">
        <v>0</v>
      </c>
      <c r="D20" s="3"/>
      <c r="E20" s="3"/>
      <c r="F20" s="4">
        <v>0</v>
      </c>
    </row>
    <row r="21" spans="2:6">
      <c r="B21" s="3" t="s">
        <v>80</v>
      </c>
      <c r="C21" s="3">
        <v>1</v>
      </c>
      <c r="D21" s="3">
        <v>6.5</v>
      </c>
      <c r="E21" s="3"/>
      <c r="F21" s="4">
        <v>0</v>
      </c>
    </row>
    <row r="22" spans="2:6">
      <c r="B22" s="3" t="s">
        <v>81</v>
      </c>
      <c r="C22" s="3">
        <v>0</v>
      </c>
      <c r="D22" s="3"/>
      <c r="E22" s="3"/>
      <c r="F22" s="4">
        <v>0</v>
      </c>
    </row>
    <row r="23" spans="2:6">
      <c r="B23" s="3" t="s">
        <v>82</v>
      </c>
      <c r="C23" s="3">
        <v>0</v>
      </c>
      <c r="D23" s="3">
        <v>4</v>
      </c>
      <c r="E23" s="3"/>
      <c r="F23" s="4">
        <v>0</v>
      </c>
    </row>
    <row r="24" spans="2:6">
      <c r="B24" s="3" t="s">
        <v>83</v>
      </c>
      <c r="C24" s="3">
        <v>1</v>
      </c>
      <c r="D24" s="3">
        <v>6.25</v>
      </c>
      <c r="E24" s="3"/>
      <c r="F24" s="4">
        <v>0</v>
      </c>
    </row>
    <row r="25" spans="2:6">
      <c r="B25" s="3" t="s">
        <v>84</v>
      </c>
      <c r="C25" s="3">
        <v>0</v>
      </c>
      <c r="D25" s="3"/>
      <c r="E25" s="3"/>
      <c r="F25" s="4">
        <v>0</v>
      </c>
    </row>
    <row r="26" spans="2:6">
      <c r="B26" s="3" t="s">
        <v>85</v>
      </c>
      <c r="C26" s="3">
        <v>0</v>
      </c>
      <c r="D26" s="3"/>
      <c r="E26" s="3"/>
      <c r="F26" s="4">
        <v>0</v>
      </c>
    </row>
    <row r="27" spans="2:6">
      <c r="B27" s="3" t="s">
        <v>86</v>
      </c>
      <c r="C27" s="3">
        <v>1</v>
      </c>
      <c r="D27" s="3">
        <v>8.9499999999999993</v>
      </c>
      <c r="E27" s="3">
        <v>5.79</v>
      </c>
      <c r="F27" s="4">
        <f t="shared" ref="F27:F34" si="1">(D27-E27)/D27</f>
        <v>0.35307262569832398</v>
      </c>
    </row>
    <row r="28" spans="2:6">
      <c r="B28" s="3" t="s">
        <v>87</v>
      </c>
      <c r="C28" s="3">
        <v>0</v>
      </c>
      <c r="D28" s="3">
        <v>4.95</v>
      </c>
      <c r="E28" s="3"/>
      <c r="F28" s="4">
        <v>0</v>
      </c>
    </row>
    <row r="29" spans="2:6">
      <c r="B29" s="3" t="s">
        <v>88</v>
      </c>
      <c r="C29" s="3">
        <v>1</v>
      </c>
      <c r="D29" s="3">
        <v>17.95</v>
      </c>
      <c r="E29" s="3">
        <v>15.25</v>
      </c>
      <c r="F29" s="4">
        <f t="shared" si="1"/>
        <v>0.15041782729805012</v>
      </c>
    </row>
    <row r="30" spans="2:6">
      <c r="B30" s="3" t="s">
        <v>89</v>
      </c>
      <c r="C30" s="3">
        <v>1</v>
      </c>
      <c r="D30" s="3">
        <v>9.9499999999999993</v>
      </c>
      <c r="E30" s="3"/>
      <c r="F30" s="4">
        <v>0</v>
      </c>
    </row>
    <row r="31" spans="2:6">
      <c r="B31" s="6" t="s">
        <v>90</v>
      </c>
      <c r="C31" s="3">
        <v>1</v>
      </c>
      <c r="D31" s="3">
        <v>4</v>
      </c>
      <c r="E31" s="3"/>
      <c r="F31" s="4">
        <v>0</v>
      </c>
    </row>
    <row r="32" spans="2:6">
      <c r="B32" s="3" t="s">
        <v>91</v>
      </c>
      <c r="C32" s="3">
        <v>1</v>
      </c>
      <c r="D32" s="3">
        <v>5.95</v>
      </c>
      <c r="E32" s="3"/>
      <c r="F32" s="4">
        <v>0</v>
      </c>
    </row>
    <row r="33" spans="2:6">
      <c r="B33" s="3" t="s">
        <v>92</v>
      </c>
      <c r="C33" s="3">
        <v>1</v>
      </c>
      <c r="D33" s="3">
        <v>4.5</v>
      </c>
      <c r="E33" s="3"/>
      <c r="F33" s="4">
        <v>0</v>
      </c>
    </row>
    <row r="34" spans="2:6">
      <c r="B34" s="3" t="s">
        <v>93</v>
      </c>
      <c r="C34" s="3">
        <v>1</v>
      </c>
      <c r="D34" s="3">
        <v>13.95</v>
      </c>
      <c r="E34" s="3">
        <v>11.95</v>
      </c>
      <c r="F34" s="4">
        <f t="shared" si="1"/>
        <v>0.14336917562724016</v>
      </c>
    </row>
    <row r="35" spans="2:6"/>
    <row r="36" spans="2:6"/>
    <row r="37" spans="2:6"/>
    <row r="38" spans="2:6"/>
    <row r="39" spans="2:6"/>
    <row r="40" spans="2:6"/>
    <row r="41" spans="2:6"/>
    <row r="42" spans="2:6"/>
    <row r="43" spans="2:6"/>
    <row r="44" spans="2:6"/>
    <row r="45" spans="2:6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A88F1-7B7E-4EED-8366-DE0784AD1A5A}">
  <dimension ref="B1:I45"/>
  <sheetViews>
    <sheetView workbookViewId="0">
      <pane ySplit="1" topLeftCell="A2" activePane="bottomLeft" state="frozen"/>
      <selection pane="bottomLeft"/>
    </sheetView>
  </sheetViews>
  <sheetFormatPr defaultColWidth="10.625" defaultRowHeight="15.75" customHeight="1"/>
  <cols>
    <col min="1" max="1" width="9" style="1" bestFit="1" customWidth="1"/>
    <col min="2" max="2" width="40.375" style="1" customWidth="1"/>
    <col min="3" max="5" width="20.625" style="1" customWidth="1"/>
    <col min="6" max="6" width="20.625" style="2" customWidth="1"/>
    <col min="7" max="10" width="9" style="1" bestFit="1" customWidth="1"/>
    <col min="11" max="11" width="43.875" style="1" bestFit="1" customWidth="1"/>
    <col min="12" max="15" width="14.75" style="1" customWidth="1"/>
    <col min="16" max="16384" width="10.625" style="1"/>
  </cols>
  <sheetData>
    <row r="1" spans="2:9">
      <c r="B1" s="7" t="s">
        <v>55</v>
      </c>
      <c r="C1" s="7" t="s">
        <v>56</v>
      </c>
      <c r="D1" s="7" t="s">
        <v>57</v>
      </c>
      <c r="E1" s="7" t="s">
        <v>58</v>
      </c>
      <c r="F1" s="8" t="s">
        <v>59</v>
      </c>
    </row>
    <row r="2" spans="2:9">
      <c r="B2" s="5" t="s">
        <v>60</v>
      </c>
      <c r="C2" s="3">
        <v>1</v>
      </c>
      <c r="D2" s="3">
        <v>6.5</v>
      </c>
      <c r="E2" s="3"/>
      <c r="F2" s="4">
        <v>0</v>
      </c>
      <c r="H2" s="1">
        <v>0</v>
      </c>
      <c r="I2" s="1" t="s">
        <v>61</v>
      </c>
    </row>
    <row r="3" spans="2:9">
      <c r="B3" s="5" t="s">
        <v>62</v>
      </c>
      <c r="C3" s="3">
        <v>1</v>
      </c>
      <c r="D3" s="3">
        <v>11.5</v>
      </c>
      <c r="E3" s="3"/>
      <c r="F3" s="4">
        <v>0</v>
      </c>
      <c r="H3" s="1">
        <v>1</v>
      </c>
      <c r="I3" s="1" t="s">
        <v>63</v>
      </c>
    </row>
    <row r="4" spans="2:9">
      <c r="B4" s="5" t="s">
        <v>64</v>
      </c>
      <c r="C4" s="3">
        <v>1</v>
      </c>
      <c r="D4" s="3">
        <v>72</v>
      </c>
      <c r="E4" s="3"/>
      <c r="F4" s="4">
        <v>0</v>
      </c>
    </row>
    <row r="5" spans="2:9">
      <c r="B5" s="5" t="s">
        <v>65</v>
      </c>
      <c r="C5" s="3">
        <v>1</v>
      </c>
      <c r="D5" s="3">
        <v>6</v>
      </c>
      <c r="E5" s="3"/>
      <c r="F5" s="4">
        <v>0</v>
      </c>
    </row>
    <row r="6" spans="2:9">
      <c r="B6" s="5" t="s">
        <v>66</v>
      </c>
      <c r="C6" s="3">
        <v>0</v>
      </c>
      <c r="D6" s="3"/>
      <c r="E6" s="3"/>
      <c r="F6" s="4">
        <v>0</v>
      </c>
    </row>
    <row r="7" spans="2:9">
      <c r="B7" s="5" t="s">
        <v>67</v>
      </c>
      <c r="C7" s="3">
        <v>0</v>
      </c>
      <c r="D7" s="3"/>
      <c r="E7" s="3"/>
      <c r="F7" s="4">
        <v>0</v>
      </c>
    </row>
    <row r="8" spans="2:9">
      <c r="B8" s="5" t="s">
        <v>68</v>
      </c>
      <c r="C8" s="3">
        <v>0</v>
      </c>
      <c r="D8" s="3"/>
      <c r="E8" s="3"/>
      <c r="F8" s="4">
        <v>0</v>
      </c>
    </row>
    <row r="9" spans="2:9">
      <c r="B9" s="5" t="s">
        <v>69</v>
      </c>
      <c r="C9" s="3">
        <v>1</v>
      </c>
      <c r="D9" s="3">
        <v>4</v>
      </c>
      <c r="E9" s="3"/>
      <c r="F9" s="4">
        <v>0</v>
      </c>
    </row>
    <row r="10" spans="2:9">
      <c r="B10" s="5" t="s">
        <v>70</v>
      </c>
      <c r="C10" s="3">
        <v>1</v>
      </c>
      <c r="D10" s="3">
        <v>31.5</v>
      </c>
      <c r="E10" s="3">
        <v>25.75</v>
      </c>
      <c r="F10" s="4">
        <f t="shared" ref="F10:F24" si="0">(D10-E10)/D10</f>
        <v>0.18253968253968253</v>
      </c>
    </row>
    <row r="11" spans="2:9">
      <c r="B11" s="5" t="s">
        <v>71</v>
      </c>
      <c r="C11" s="3">
        <v>1</v>
      </c>
      <c r="D11" s="3">
        <v>48.95</v>
      </c>
      <c r="E11" s="3"/>
      <c r="F11" s="4">
        <v>0</v>
      </c>
    </row>
    <row r="12" spans="2:9">
      <c r="B12" s="5" t="s">
        <v>72</v>
      </c>
      <c r="C12" s="3">
        <v>1</v>
      </c>
      <c r="D12" s="3">
        <v>25.95</v>
      </c>
      <c r="E12" s="3"/>
      <c r="F12" s="4">
        <v>0</v>
      </c>
    </row>
    <row r="13" spans="2:9">
      <c r="B13" s="5" t="s">
        <v>73</v>
      </c>
      <c r="C13" s="3">
        <v>0</v>
      </c>
      <c r="D13" s="3"/>
      <c r="E13" s="3"/>
      <c r="F13" s="4">
        <v>0</v>
      </c>
    </row>
    <row r="14" spans="2:9">
      <c r="B14" s="5" t="s">
        <v>74</v>
      </c>
      <c r="C14" s="3">
        <v>1</v>
      </c>
      <c r="D14" s="3">
        <v>2.95</v>
      </c>
      <c r="E14" s="3"/>
      <c r="F14" s="4">
        <v>0</v>
      </c>
    </row>
    <row r="15" spans="2:9">
      <c r="B15" s="5" t="s">
        <v>75</v>
      </c>
      <c r="C15" s="3">
        <v>0</v>
      </c>
      <c r="D15" s="3"/>
      <c r="E15" s="3"/>
      <c r="F15" s="4">
        <v>0</v>
      </c>
    </row>
    <row r="16" spans="2:9">
      <c r="B16" s="5" t="s">
        <v>76</v>
      </c>
      <c r="C16" s="3">
        <v>1</v>
      </c>
      <c r="D16" s="3">
        <v>15.95</v>
      </c>
      <c r="E16" s="3">
        <v>11.95</v>
      </c>
      <c r="F16" s="4">
        <f t="shared" si="0"/>
        <v>0.25078369905956116</v>
      </c>
    </row>
    <row r="17" spans="2:6">
      <c r="D17" s="3"/>
    </row>
    <row r="18" spans="2:6">
      <c r="B18" s="3" t="s">
        <v>77</v>
      </c>
      <c r="C18" s="3">
        <v>1</v>
      </c>
      <c r="D18" s="3">
        <v>6.5</v>
      </c>
      <c r="E18" s="3"/>
      <c r="F18" s="4">
        <v>0</v>
      </c>
    </row>
    <row r="19" spans="2:6">
      <c r="B19" s="3" t="s">
        <v>78</v>
      </c>
      <c r="C19" s="3">
        <v>0</v>
      </c>
      <c r="D19" s="3"/>
      <c r="E19" s="3"/>
      <c r="F19" s="4">
        <v>0</v>
      </c>
    </row>
    <row r="20" spans="2:6">
      <c r="B20" s="3" t="s">
        <v>79</v>
      </c>
      <c r="C20" s="3">
        <v>0</v>
      </c>
      <c r="D20" s="3"/>
      <c r="E20" s="3"/>
      <c r="F20" s="4">
        <v>0</v>
      </c>
    </row>
    <row r="21" spans="2:6">
      <c r="B21" s="3" t="s">
        <v>80</v>
      </c>
      <c r="C21" s="3">
        <v>1</v>
      </c>
      <c r="D21" s="3">
        <v>6.5</v>
      </c>
      <c r="E21" s="3"/>
      <c r="F21" s="4">
        <v>0</v>
      </c>
    </row>
    <row r="22" spans="2:6">
      <c r="B22" s="3" t="s">
        <v>81</v>
      </c>
      <c r="C22" s="3">
        <v>0</v>
      </c>
      <c r="D22" s="3"/>
      <c r="E22" s="3"/>
      <c r="F22" s="4">
        <v>0</v>
      </c>
    </row>
    <row r="23" spans="2:6">
      <c r="B23" s="3" t="s">
        <v>82</v>
      </c>
      <c r="C23" s="3">
        <v>0</v>
      </c>
      <c r="D23" s="3">
        <v>4</v>
      </c>
      <c r="E23" s="3"/>
      <c r="F23" s="4">
        <v>0</v>
      </c>
    </row>
    <row r="24" spans="2:6">
      <c r="B24" s="3" t="s">
        <v>83</v>
      </c>
      <c r="C24" s="3">
        <v>1</v>
      </c>
      <c r="D24" s="3">
        <v>6.25</v>
      </c>
      <c r="E24" s="3"/>
      <c r="F24" s="4">
        <v>0</v>
      </c>
    </row>
    <row r="25" spans="2:6">
      <c r="B25" s="3" t="s">
        <v>84</v>
      </c>
      <c r="C25" s="3">
        <v>0</v>
      </c>
      <c r="D25" s="3"/>
      <c r="E25" s="3"/>
      <c r="F25" s="4">
        <v>0</v>
      </c>
    </row>
    <row r="26" spans="2:6">
      <c r="B26" s="3" t="s">
        <v>85</v>
      </c>
      <c r="C26" s="3">
        <v>0</v>
      </c>
      <c r="D26" s="3"/>
      <c r="E26" s="3"/>
      <c r="F26" s="4">
        <v>0</v>
      </c>
    </row>
    <row r="27" spans="2:6">
      <c r="B27" s="3" t="s">
        <v>86</v>
      </c>
      <c r="C27" s="3">
        <v>1</v>
      </c>
      <c r="D27" s="3">
        <v>8.9499999999999993</v>
      </c>
      <c r="E27" s="3">
        <v>5.79</v>
      </c>
      <c r="F27" s="4">
        <f t="shared" ref="F27:F34" si="1">(D27-E27)/D27</f>
        <v>0.35307262569832398</v>
      </c>
    </row>
    <row r="28" spans="2:6">
      <c r="B28" s="3" t="s">
        <v>87</v>
      </c>
      <c r="C28" s="3">
        <v>1</v>
      </c>
      <c r="D28" s="3">
        <v>4.95</v>
      </c>
      <c r="E28" s="3"/>
      <c r="F28" s="4">
        <v>0</v>
      </c>
    </row>
    <row r="29" spans="2:6">
      <c r="B29" s="3" t="s">
        <v>88</v>
      </c>
      <c r="C29" s="3">
        <v>1</v>
      </c>
      <c r="D29" s="3">
        <v>17.95</v>
      </c>
      <c r="E29" s="3">
        <v>15.25</v>
      </c>
      <c r="F29" s="4">
        <f t="shared" si="1"/>
        <v>0.15041782729805012</v>
      </c>
    </row>
    <row r="30" spans="2:6">
      <c r="B30" s="3" t="s">
        <v>89</v>
      </c>
      <c r="C30" s="3">
        <v>1</v>
      </c>
      <c r="D30" s="3">
        <v>9.9499999999999993</v>
      </c>
      <c r="E30" s="3"/>
      <c r="F30" s="4">
        <v>0</v>
      </c>
    </row>
    <row r="31" spans="2:6">
      <c r="B31" s="6" t="s">
        <v>90</v>
      </c>
      <c r="C31" s="3">
        <v>1</v>
      </c>
      <c r="D31" s="3">
        <v>4</v>
      </c>
      <c r="E31" s="3"/>
      <c r="F31" s="4">
        <v>0</v>
      </c>
    </row>
    <row r="32" spans="2:6">
      <c r="B32" s="3" t="s">
        <v>91</v>
      </c>
      <c r="C32" s="3">
        <v>1</v>
      </c>
      <c r="D32" s="3">
        <v>5.95</v>
      </c>
      <c r="E32" s="3"/>
      <c r="F32" s="4">
        <v>0</v>
      </c>
    </row>
    <row r="33" spans="2:6">
      <c r="B33" s="3" t="s">
        <v>92</v>
      </c>
      <c r="C33" s="3">
        <v>1</v>
      </c>
      <c r="D33" s="3">
        <v>4.5</v>
      </c>
      <c r="E33" s="3"/>
      <c r="F33" s="4">
        <v>0</v>
      </c>
    </row>
    <row r="34" spans="2:6">
      <c r="B34" s="3" t="s">
        <v>93</v>
      </c>
      <c r="C34" s="3">
        <v>1</v>
      </c>
      <c r="D34" s="3">
        <v>13.95</v>
      </c>
      <c r="E34" s="3">
        <v>11.95</v>
      </c>
      <c r="F34" s="4">
        <f t="shared" si="1"/>
        <v>0.14336917562724016</v>
      </c>
    </row>
    <row r="35" spans="2:6"/>
    <row r="36" spans="2:6"/>
    <row r="37" spans="2:6"/>
    <row r="38" spans="2:6"/>
    <row r="39" spans="2:6"/>
    <row r="40" spans="2:6"/>
    <row r="41" spans="2:6"/>
    <row r="42" spans="2:6"/>
    <row r="43" spans="2:6"/>
    <row r="44" spans="2:6"/>
    <row r="45" spans="2:6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6C64-C3C0-4526-884A-5F0B6B52CC09}">
  <dimension ref="B1:I45"/>
  <sheetViews>
    <sheetView workbookViewId="0">
      <pane ySplit="1" topLeftCell="A2" activePane="bottomLeft" state="frozen"/>
      <selection pane="bottomLeft"/>
    </sheetView>
  </sheetViews>
  <sheetFormatPr defaultColWidth="10.625" defaultRowHeight="15.75" customHeight="1"/>
  <cols>
    <col min="1" max="1" width="9" style="1" bestFit="1" customWidth="1"/>
    <col min="2" max="2" width="40.375" style="1" customWidth="1"/>
    <col min="3" max="5" width="20.625" style="1" customWidth="1"/>
    <col min="6" max="6" width="20.625" style="2" customWidth="1"/>
    <col min="7" max="10" width="9" style="1" bestFit="1" customWidth="1"/>
    <col min="11" max="11" width="43.875" style="1" bestFit="1" customWidth="1"/>
    <col min="12" max="15" width="14.75" style="1" customWidth="1"/>
    <col min="16" max="16384" width="10.625" style="1"/>
  </cols>
  <sheetData>
    <row r="1" spans="2:9">
      <c r="B1" s="7" t="s">
        <v>55</v>
      </c>
      <c r="C1" s="7" t="s">
        <v>56</v>
      </c>
      <c r="D1" s="7" t="s">
        <v>57</v>
      </c>
      <c r="E1" s="7" t="s">
        <v>58</v>
      </c>
      <c r="F1" s="8" t="s">
        <v>59</v>
      </c>
    </row>
    <row r="2" spans="2:9">
      <c r="B2" s="5" t="s">
        <v>60</v>
      </c>
      <c r="C2" s="3">
        <v>1</v>
      </c>
      <c r="D2" s="3">
        <v>6.5</v>
      </c>
      <c r="E2" s="3"/>
      <c r="F2" s="4">
        <v>0</v>
      </c>
      <c r="H2" s="1">
        <v>0</v>
      </c>
      <c r="I2" s="1" t="s">
        <v>61</v>
      </c>
    </row>
    <row r="3" spans="2:9">
      <c r="B3" s="5" t="s">
        <v>62</v>
      </c>
      <c r="C3" s="3">
        <v>1</v>
      </c>
      <c r="D3" s="3">
        <v>11.5</v>
      </c>
      <c r="E3" s="3"/>
      <c r="F3" s="4">
        <v>0</v>
      </c>
      <c r="H3" s="1">
        <v>1</v>
      </c>
      <c r="I3" s="1" t="s">
        <v>63</v>
      </c>
    </row>
    <row r="4" spans="2:9">
      <c r="B4" s="5" t="s">
        <v>64</v>
      </c>
      <c r="C4" s="3">
        <v>1</v>
      </c>
      <c r="D4" s="3">
        <v>72</v>
      </c>
      <c r="E4" s="3"/>
      <c r="F4" s="4">
        <v>0</v>
      </c>
    </row>
    <row r="5" spans="2:9">
      <c r="B5" s="5" t="s">
        <v>65</v>
      </c>
      <c r="C5" s="3">
        <v>1</v>
      </c>
      <c r="D5" s="3">
        <v>6</v>
      </c>
      <c r="E5" s="3"/>
      <c r="F5" s="4">
        <v>0</v>
      </c>
    </row>
    <row r="6" spans="2:9">
      <c r="B6" s="5" t="s">
        <v>66</v>
      </c>
      <c r="C6" s="3">
        <v>0</v>
      </c>
      <c r="D6" s="3"/>
      <c r="E6" s="3"/>
      <c r="F6" s="4">
        <v>0</v>
      </c>
    </row>
    <row r="7" spans="2:9">
      <c r="B7" s="5" t="s">
        <v>67</v>
      </c>
      <c r="C7" s="3">
        <v>0</v>
      </c>
      <c r="D7" s="3"/>
      <c r="E7" s="3"/>
      <c r="F7" s="4">
        <v>0</v>
      </c>
    </row>
    <row r="8" spans="2:9">
      <c r="B8" s="5" t="s">
        <v>68</v>
      </c>
      <c r="C8" s="3">
        <v>0</v>
      </c>
      <c r="D8" s="3"/>
      <c r="E8" s="3"/>
      <c r="F8" s="4">
        <v>0</v>
      </c>
    </row>
    <row r="9" spans="2:9">
      <c r="B9" s="5" t="s">
        <v>69</v>
      </c>
      <c r="C9" s="3">
        <v>1</v>
      </c>
      <c r="D9" s="3">
        <v>4</v>
      </c>
      <c r="E9" s="3"/>
      <c r="F9" s="4">
        <v>0</v>
      </c>
    </row>
    <row r="10" spans="2:9">
      <c r="B10" s="5" t="s">
        <v>70</v>
      </c>
      <c r="C10" s="3">
        <v>1</v>
      </c>
      <c r="D10" s="3">
        <v>31.5</v>
      </c>
      <c r="E10" s="3">
        <v>25.75</v>
      </c>
      <c r="F10" s="4">
        <f t="shared" ref="F10:F24" si="0">(D10-E10)/D10</f>
        <v>0.18253968253968253</v>
      </c>
    </row>
    <row r="11" spans="2:9">
      <c r="B11" s="5" t="s">
        <v>71</v>
      </c>
      <c r="C11" s="3">
        <v>1</v>
      </c>
      <c r="D11" s="3">
        <v>48.95</v>
      </c>
      <c r="E11" s="3"/>
      <c r="F11" s="4">
        <v>0</v>
      </c>
    </row>
    <row r="12" spans="2:9">
      <c r="B12" s="5" t="s">
        <v>72</v>
      </c>
      <c r="C12" s="3">
        <v>1</v>
      </c>
      <c r="D12" s="3">
        <v>25.95</v>
      </c>
      <c r="E12" s="3"/>
      <c r="F12" s="4">
        <v>0</v>
      </c>
    </row>
    <row r="13" spans="2:9">
      <c r="B13" s="5" t="s">
        <v>73</v>
      </c>
      <c r="C13" s="3">
        <v>0</v>
      </c>
      <c r="D13" s="3"/>
      <c r="E13" s="3"/>
      <c r="F13" s="4">
        <v>0</v>
      </c>
    </row>
    <row r="14" spans="2:9">
      <c r="B14" s="5" t="s">
        <v>74</v>
      </c>
      <c r="C14" s="3">
        <v>1</v>
      </c>
      <c r="D14" s="3">
        <v>2.95</v>
      </c>
      <c r="E14" s="3"/>
      <c r="F14" s="4">
        <v>0</v>
      </c>
    </row>
    <row r="15" spans="2:9">
      <c r="B15" s="5" t="s">
        <v>75</v>
      </c>
      <c r="C15" s="3">
        <v>0</v>
      </c>
      <c r="D15" s="3"/>
      <c r="E15" s="3"/>
      <c r="F15" s="4">
        <v>0</v>
      </c>
    </row>
    <row r="16" spans="2:9">
      <c r="B16" s="5" t="s">
        <v>76</v>
      </c>
      <c r="C16" s="3">
        <v>1</v>
      </c>
      <c r="D16" s="3">
        <v>15.95</v>
      </c>
      <c r="E16" s="3">
        <v>11.95</v>
      </c>
      <c r="F16" s="4">
        <f t="shared" si="0"/>
        <v>0.25078369905956116</v>
      </c>
    </row>
    <row r="17" spans="2:6">
      <c r="D17" s="3"/>
    </row>
    <row r="18" spans="2:6">
      <c r="B18" s="3" t="s">
        <v>77</v>
      </c>
      <c r="C18" s="3">
        <v>1</v>
      </c>
      <c r="D18" s="3">
        <v>6.5</v>
      </c>
      <c r="E18" s="3"/>
      <c r="F18" s="4">
        <v>0</v>
      </c>
    </row>
    <row r="19" spans="2:6">
      <c r="B19" s="3" t="s">
        <v>78</v>
      </c>
      <c r="C19" s="3">
        <v>0</v>
      </c>
      <c r="D19" s="3"/>
      <c r="E19" s="3"/>
      <c r="F19" s="4">
        <v>0</v>
      </c>
    </row>
    <row r="20" spans="2:6">
      <c r="B20" s="3" t="s">
        <v>79</v>
      </c>
      <c r="C20" s="3">
        <v>0</v>
      </c>
      <c r="D20" s="3"/>
      <c r="E20" s="3"/>
      <c r="F20" s="4">
        <v>0</v>
      </c>
    </row>
    <row r="21" spans="2:6">
      <c r="B21" s="3" t="s">
        <v>80</v>
      </c>
      <c r="C21" s="3">
        <v>1</v>
      </c>
      <c r="D21" s="3">
        <v>6.5</v>
      </c>
      <c r="E21" s="3"/>
      <c r="F21" s="4">
        <v>0</v>
      </c>
    </row>
    <row r="22" spans="2:6">
      <c r="B22" s="3" t="s">
        <v>81</v>
      </c>
      <c r="C22" s="3">
        <v>0</v>
      </c>
      <c r="D22" s="3"/>
      <c r="E22" s="3"/>
      <c r="F22" s="4">
        <v>0</v>
      </c>
    </row>
    <row r="23" spans="2:6">
      <c r="B23" s="3" t="s">
        <v>82</v>
      </c>
      <c r="C23" s="3">
        <v>0</v>
      </c>
      <c r="D23" s="3">
        <v>4</v>
      </c>
      <c r="E23" s="3"/>
      <c r="F23" s="4">
        <v>0</v>
      </c>
    </row>
    <row r="24" spans="2:6">
      <c r="B24" s="3" t="s">
        <v>83</v>
      </c>
      <c r="C24" s="3">
        <v>1</v>
      </c>
      <c r="D24" s="3">
        <v>6.25</v>
      </c>
      <c r="E24" s="3"/>
      <c r="F24" s="4">
        <v>0</v>
      </c>
    </row>
    <row r="25" spans="2:6">
      <c r="B25" s="3" t="s">
        <v>84</v>
      </c>
      <c r="C25" s="3">
        <v>0</v>
      </c>
      <c r="D25" s="3"/>
      <c r="E25" s="3"/>
      <c r="F25" s="4">
        <v>0</v>
      </c>
    </row>
    <row r="26" spans="2:6">
      <c r="B26" s="3" t="s">
        <v>85</v>
      </c>
      <c r="C26" s="3">
        <v>0</v>
      </c>
      <c r="D26" s="3"/>
      <c r="E26" s="3"/>
      <c r="F26" s="4">
        <v>0</v>
      </c>
    </row>
    <row r="27" spans="2:6">
      <c r="B27" s="3" t="s">
        <v>86</v>
      </c>
      <c r="C27" s="3">
        <v>1</v>
      </c>
      <c r="D27" s="3">
        <v>8.9499999999999993</v>
      </c>
      <c r="E27" s="3">
        <v>5.79</v>
      </c>
      <c r="F27" s="4">
        <f t="shared" ref="F27:F34" si="1">(D27-E27)/D27</f>
        <v>0.35307262569832398</v>
      </c>
    </row>
    <row r="28" spans="2:6">
      <c r="B28" s="3" t="s">
        <v>87</v>
      </c>
      <c r="C28" s="3">
        <v>0</v>
      </c>
      <c r="D28" s="3">
        <v>4.95</v>
      </c>
      <c r="E28" s="3"/>
      <c r="F28" s="4">
        <v>0</v>
      </c>
    </row>
    <row r="29" spans="2:6">
      <c r="B29" s="3" t="s">
        <v>88</v>
      </c>
      <c r="C29" s="3">
        <v>1</v>
      </c>
      <c r="D29" s="3">
        <v>17.95</v>
      </c>
      <c r="E29" s="3">
        <v>15.25</v>
      </c>
      <c r="F29" s="4">
        <f t="shared" si="1"/>
        <v>0.15041782729805012</v>
      </c>
    </row>
    <row r="30" spans="2:6">
      <c r="B30" s="3" t="s">
        <v>89</v>
      </c>
      <c r="C30" s="3">
        <v>0</v>
      </c>
      <c r="D30" s="3">
        <v>9.9499999999999993</v>
      </c>
      <c r="E30" s="3"/>
      <c r="F30" s="4">
        <v>0</v>
      </c>
    </row>
    <row r="31" spans="2:6">
      <c r="B31" s="6" t="s">
        <v>90</v>
      </c>
      <c r="C31" s="3">
        <v>1</v>
      </c>
      <c r="D31" s="3">
        <v>4</v>
      </c>
      <c r="E31" s="3"/>
      <c r="F31" s="4">
        <v>0</v>
      </c>
    </row>
    <row r="32" spans="2:6">
      <c r="B32" s="3" t="s">
        <v>91</v>
      </c>
      <c r="C32" s="3">
        <v>1</v>
      </c>
      <c r="D32" s="3">
        <v>5.95</v>
      </c>
      <c r="E32" s="3"/>
      <c r="F32" s="4">
        <v>0</v>
      </c>
    </row>
    <row r="33" spans="2:6">
      <c r="B33" s="3" t="s">
        <v>92</v>
      </c>
      <c r="C33" s="3">
        <v>0</v>
      </c>
      <c r="D33" s="3">
        <v>4.5</v>
      </c>
      <c r="E33" s="3"/>
      <c r="F33" s="4">
        <v>0</v>
      </c>
    </row>
    <row r="34" spans="2:6">
      <c r="B34" s="3" t="s">
        <v>93</v>
      </c>
      <c r="C34" s="3">
        <v>1</v>
      </c>
      <c r="D34" s="3">
        <v>13.95</v>
      </c>
      <c r="E34" s="3">
        <v>11.95</v>
      </c>
      <c r="F34" s="4">
        <f t="shared" si="1"/>
        <v>0.14336917562724016</v>
      </c>
    </row>
    <row r="35" spans="2:6"/>
    <row r="36" spans="2:6"/>
    <row r="37" spans="2:6"/>
    <row r="38" spans="2:6"/>
    <row r="39" spans="2:6"/>
    <row r="40" spans="2:6"/>
    <row r="41" spans="2:6"/>
    <row r="42" spans="2:6"/>
    <row r="43" spans="2:6"/>
    <row r="44" spans="2:6"/>
    <row r="45" spans="2:6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0775-27B5-4F6F-BB45-69822F950F26}">
  <dimension ref="B1:I45"/>
  <sheetViews>
    <sheetView workbookViewId="0">
      <pane ySplit="1" topLeftCell="A2" activePane="bottomLeft" state="frozen"/>
      <selection pane="bottomLeft"/>
    </sheetView>
  </sheetViews>
  <sheetFormatPr defaultColWidth="10.625" defaultRowHeight="15.75" customHeight="1"/>
  <cols>
    <col min="1" max="1" width="9" style="1" bestFit="1" customWidth="1"/>
    <col min="2" max="2" width="40.375" style="1" customWidth="1"/>
    <col min="3" max="5" width="20.625" style="1" customWidth="1"/>
    <col min="6" max="6" width="20.625" style="2" customWidth="1"/>
    <col min="7" max="10" width="9" style="1" bestFit="1" customWidth="1"/>
    <col min="11" max="11" width="43.875" style="1" bestFit="1" customWidth="1"/>
    <col min="12" max="15" width="14.75" style="1" customWidth="1"/>
    <col min="16" max="16384" width="10.625" style="1"/>
  </cols>
  <sheetData>
    <row r="1" spans="2:9">
      <c r="B1" s="7" t="s">
        <v>55</v>
      </c>
      <c r="C1" s="7" t="s">
        <v>56</v>
      </c>
      <c r="D1" s="7" t="s">
        <v>57</v>
      </c>
      <c r="E1" s="7" t="s">
        <v>58</v>
      </c>
      <c r="F1" s="8" t="s">
        <v>59</v>
      </c>
    </row>
    <row r="2" spans="2:9">
      <c r="B2" s="5" t="s">
        <v>60</v>
      </c>
      <c r="C2" s="3">
        <v>1</v>
      </c>
      <c r="D2" s="3">
        <v>6.5</v>
      </c>
      <c r="E2" s="3"/>
      <c r="F2" s="4">
        <v>0</v>
      </c>
      <c r="H2" s="1">
        <v>0</v>
      </c>
      <c r="I2" s="1" t="s">
        <v>61</v>
      </c>
    </row>
    <row r="3" spans="2:9">
      <c r="B3" s="5" t="s">
        <v>62</v>
      </c>
      <c r="C3" s="3">
        <v>1</v>
      </c>
      <c r="D3" s="3">
        <v>11.5</v>
      </c>
      <c r="E3" s="3"/>
      <c r="F3" s="4">
        <v>0</v>
      </c>
      <c r="H3" s="1">
        <v>1</v>
      </c>
      <c r="I3" s="1" t="s">
        <v>63</v>
      </c>
    </row>
    <row r="4" spans="2:9">
      <c r="B4" s="5" t="s">
        <v>64</v>
      </c>
      <c r="C4" s="3">
        <v>1</v>
      </c>
      <c r="D4" s="3">
        <v>72</v>
      </c>
      <c r="E4" s="3"/>
      <c r="F4" s="4">
        <v>0</v>
      </c>
    </row>
    <row r="5" spans="2:9">
      <c r="B5" s="5" t="s">
        <v>65</v>
      </c>
      <c r="C5" s="3">
        <v>1</v>
      </c>
      <c r="D5" s="3">
        <v>6</v>
      </c>
      <c r="E5" s="3"/>
      <c r="F5" s="4">
        <v>0</v>
      </c>
    </row>
    <row r="6" spans="2:9">
      <c r="B6" s="5" t="s">
        <v>66</v>
      </c>
      <c r="C6" s="3">
        <v>0</v>
      </c>
      <c r="D6" s="3"/>
      <c r="E6" s="3"/>
      <c r="F6" s="4">
        <v>0</v>
      </c>
    </row>
    <row r="7" spans="2:9">
      <c r="B7" s="5" t="s">
        <v>67</v>
      </c>
      <c r="C7" s="3">
        <v>0</v>
      </c>
      <c r="D7" s="3"/>
      <c r="E7" s="3"/>
      <c r="F7" s="4">
        <v>0</v>
      </c>
    </row>
    <row r="8" spans="2:9">
      <c r="B8" s="5" t="s">
        <v>68</v>
      </c>
      <c r="C8" s="3">
        <v>0</v>
      </c>
      <c r="D8" s="3"/>
      <c r="E8" s="3"/>
      <c r="F8" s="4">
        <v>0</v>
      </c>
    </row>
    <row r="9" spans="2:9">
      <c r="B9" s="5" t="s">
        <v>69</v>
      </c>
      <c r="C9" s="3">
        <v>1</v>
      </c>
      <c r="D9" s="3">
        <v>4</v>
      </c>
      <c r="E9" s="3"/>
      <c r="F9" s="4">
        <v>0</v>
      </c>
    </row>
    <row r="10" spans="2:9">
      <c r="B10" s="5" t="s">
        <v>70</v>
      </c>
      <c r="C10" s="3">
        <v>1</v>
      </c>
      <c r="D10" s="3">
        <v>31.5</v>
      </c>
      <c r="E10" s="3">
        <v>25.75</v>
      </c>
      <c r="F10" s="4">
        <f t="shared" ref="F10:F24" si="0">(D10-E10)/D10</f>
        <v>0.18253968253968253</v>
      </c>
    </row>
    <row r="11" spans="2:9">
      <c r="B11" s="5" t="s">
        <v>71</v>
      </c>
      <c r="C11" s="3">
        <v>1</v>
      </c>
      <c r="D11" s="3">
        <v>48.95</v>
      </c>
      <c r="E11" s="3"/>
      <c r="F11" s="4">
        <v>0</v>
      </c>
    </row>
    <row r="12" spans="2:9">
      <c r="B12" s="5" t="s">
        <v>72</v>
      </c>
      <c r="C12" s="3">
        <v>1</v>
      </c>
      <c r="D12" s="3">
        <v>25.95</v>
      </c>
      <c r="E12" s="3"/>
      <c r="F12" s="4">
        <v>0</v>
      </c>
    </row>
    <row r="13" spans="2:9">
      <c r="B13" s="5" t="s">
        <v>73</v>
      </c>
      <c r="C13" s="3">
        <v>0</v>
      </c>
      <c r="D13" s="3"/>
      <c r="E13" s="3"/>
      <c r="F13" s="4">
        <v>0</v>
      </c>
    </row>
    <row r="14" spans="2:9">
      <c r="B14" s="5" t="s">
        <v>74</v>
      </c>
      <c r="C14" s="3">
        <v>1</v>
      </c>
      <c r="D14" s="3">
        <v>2.95</v>
      </c>
      <c r="E14" s="3"/>
      <c r="F14" s="4">
        <v>0</v>
      </c>
    </row>
    <row r="15" spans="2:9">
      <c r="B15" s="5" t="s">
        <v>75</v>
      </c>
      <c r="C15" s="3">
        <v>0</v>
      </c>
      <c r="D15" s="3"/>
      <c r="E15" s="3"/>
      <c r="F15" s="4">
        <v>0</v>
      </c>
    </row>
    <row r="16" spans="2:9">
      <c r="B16" s="5" t="s">
        <v>76</v>
      </c>
      <c r="C16" s="3">
        <v>1</v>
      </c>
      <c r="D16" s="3">
        <v>15.95</v>
      </c>
      <c r="E16" s="3">
        <v>11.95</v>
      </c>
      <c r="F16" s="4">
        <f t="shared" si="0"/>
        <v>0.25078369905956116</v>
      </c>
    </row>
    <row r="17" spans="2:6">
      <c r="D17" s="3"/>
    </row>
    <row r="18" spans="2:6">
      <c r="B18" s="3" t="s">
        <v>77</v>
      </c>
      <c r="C18" s="3">
        <v>1</v>
      </c>
      <c r="D18" s="3">
        <v>6.5</v>
      </c>
      <c r="E18" s="3"/>
      <c r="F18" s="4">
        <v>0</v>
      </c>
    </row>
    <row r="19" spans="2:6">
      <c r="B19" s="3" t="s">
        <v>78</v>
      </c>
      <c r="C19" s="3">
        <v>0</v>
      </c>
      <c r="D19" s="3"/>
      <c r="E19" s="3"/>
      <c r="F19" s="4">
        <v>0</v>
      </c>
    </row>
    <row r="20" spans="2:6">
      <c r="B20" s="3" t="s">
        <v>79</v>
      </c>
      <c r="C20" s="3">
        <v>0</v>
      </c>
      <c r="D20" s="3"/>
      <c r="E20" s="3"/>
      <c r="F20" s="4">
        <v>0</v>
      </c>
    </row>
    <row r="21" spans="2:6">
      <c r="B21" s="3" t="s">
        <v>80</v>
      </c>
      <c r="C21" s="3">
        <v>1</v>
      </c>
      <c r="D21" s="3">
        <v>6.5</v>
      </c>
      <c r="E21" s="3"/>
      <c r="F21" s="4">
        <v>0</v>
      </c>
    </row>
    <row r="22" spans="2:6">
      <c r="B22" s="3" t="s">
        <v>81</v>
      </c>
      <c r="C22" s="3">
        <v>0</v>
      </c>
      <c r="D22" s="3"/>
      <c r="E22" s="3"/>
      <c r="F22" s="4">
        <v>0</v>
      </c>
    </row>
    <row r="23" spans="2:6">
      <c r="B23" s="3" t="s">
        <v>82</v>
      </c>
      <c r="C23" s="3">
        <v>0</v>
      </c>
      <c r="D23" s="3">
        <v>4</v>
      </c>
      <c r="E23" s="3"/>
      <c r="F23" s="4">
        <v>0</v>
      </c>
    </row>
    <row r="24" spans="2:6">
      <c r="B24" s="3" t="s">
        <v>83</v>
      </c>
      <c r="C24" s="3">
        <v>1</v>
      </c>
      <c r="D24" s="3">
        <v>6.25</v>
      </c>
      <c r="E24" s="3"/>
      <c r="F24" s="4">
        <v>0</v>
      </c>
    </row>
    <row r="25" spans="2:6">
      <c r="B25" s="3" t="s">
        <v>84</v>
      </c>
      <c r="C25" s="3">
        <v>0</v>
      </c>
      <c r="D25" s="3"/>
      <c r="E25" s="3"/>
      <c r="F25" s="4">
        <v>0</v>
      </c>
    </row>
    <row r="26" spans="2:6">
      <c r="B26" s="3" t="s">
        <v>85</v>
      </c>
      <c r="C26" s="3">
        <v>0</v>
      </c>
      <c r="D26" s="3"/>
      <c r="E26" s="3"/>
      <c r="F26" s="4">
        <v>0</v>
      </c>
    </row>
    <row r="27" spans="2:6">
      <c r="B27" s="3" t="s">
        <v>86</v>
      </c>
      <c r="C27" s="3">
        <v>1</v>
      </c>
      <c r="D27" s="3">
        <v>8.9499999999999993</v>
      </c>
      <c r="E27" s="3">
        <v>5.79</v>
      </c>
      <c r="F27" s="4">
        <f t="shared" ref="F27:F34" si="1">(D27-E27)/D27</f>
        <v>0.35307262569832398</v>
      </c>
    </row>
    <row r="28" spans="2:6">
      <c r="B28" s="3" t="s">
        <v>87</v>
      </c>
      <c r="C28" s="3">
        <v>0</v>
      </c>
      <c r="D28" s="3">
        <v>4.95</v>
      </c>
      <c r="E28" s="3"/>
      <c r="F28" s="4">
        <v>0</v>
      </c>
    </row>
    <row r="29" spans="2:6">
      <c r="B29" s="3" t="s">
        <v>88</v>
      </c>
      <c r="C29" s="3">
        <v>1</v>
      </c>
      <c r="D29" s="3">
        <v>17.95</v>
      </c>
      <c r="E29" s="3">
        <v>15.25</v>
      </c>
      <c r="F29" s="4">
        <f t="shared" si="1"/>
        <v>0.15041782729805012</v>
      </c>
    </row>
    <row r="30" spans="2:6">
      <c r="B30" s="3" t="s">
        <v>89</v>
      </c>
      <c r="C30" s="3">
        <v>1</v>
      </c>
      <c r="D30" s="3">
        <v>9.9499999999999993</v>
      </c>
      <c r="E30" s="3"/>
      <c r="F30" s="4">
        <v>0</v>
      </c>
    </row>
    <row r="31" spans="2:6">
      <c r="B31" s="6" t="s">
        <v>90</v>
      </c>
      <c r="C31" s="3">
        <v>1</v>
      </c>
      <c r="D31" s="3">
        <v>4</v>
      </c>
      <c r="E31" s="3"/>
      <c r="F31" s="4">
        <v>0</v>
      </c>
    </row>
    <row r="32" spans="2:6">
      <c r="B32" s="3" t="s">
        <v>91</v>
      </c>
      <c r="C32" s="3">
        <v>1</v>
      </c>
      <c r="D32" s="3">
        <v>5.95</v>
      </c>
      <c r="E32" s="3"/>
      <c r="F32" s="4">
        <v>0</v>
      </c>
    </row>
    <row r="33" spans="2:6">
      <c r="B33" s="3" t="s">
        <v>92</v>
      </c>
      <c r="C33" s="3">
        <v>1</v>
      </c>
      <c r="D33" s="3">
        <v>4.5</v>
      </c>
      <c r="E33" s="3"/>
      <c r="F33" s="4">
        <v>0</v>
      </c>
    </row>
    <row r="34" spans="2:6">
      <c r="B34" s="3" t="s">
        <v>93</v>
      </c>
      <c r="C34" s="3">
        <v>1</v>
      </c>
      <c r="D34" s="3">
        <v>13.95</v>
      </c>
      <c r="E34" s="3">
        <v>11.95</v>
      </c>
      <c r="F34" s="4">
        <f t="shared" si="1"/>
        <v>0.14336917562724016</v>
      </c>
    </row>
    <row r="35" spans="2:6"/>
    <row r="36" spans="2:6"/>
    <row r="37" spans="2:6"/>
    <row r="38" spans="2:6"/>
    <row r="39" spans="2:6"/>
    <row r="40" spans="2:6"/>
    <row r="41" spans="2:6"/>
    <row r="42" spans="2:6"/>
    <row r="43" spans="2:6"/>
    <row r="44" spans="2:6"/>
    <row r="45" spans="2:6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4645-98B3-41FD-87C8-4BD7F652F813}">
  <dimension ref="B1:I45"/>
  <sheetViews>
    <sheetView workbookViewId="0">
      <pane ySplit="1" topLeftCell="A2" activePane="bottomLeft" state="frozen"/>
      <selection pane="bottomLeft"/>
    </sheetView>
  </sheetViews>
  <sheetFormatPr defaultColWidth="10.625" defaultRowHeight="15.75" customHeight="1"/>
  <cols>
    <col min="1" max="1" width="9" style="1" bestFit="1" customWidth="1"/>
    <col min="2" max="2" width="40.375" style="1" customWidth="1"/>
    <col min="3" max="5" width="20.625" style="1" customWidth="1"/>
    <col min="6" max="6" width="20.625" style="2" customWidth="1"/>
    <col min="7" max="10" width="9" style="1" bestFit="1" customWidth="1"/>
    <col min="11" max="11" width="43.875" style="1" bestFit="1" customWidth="1"/>
    <col min="12" max="15" width="14.75" style="1" customWidth="1"/>
    <col min="16" max="16384" width="10.625" style="1"/>
  </cols>
  <sheetData>
    <row r="1" spans="2:9">
      <c r="B1" s="7" t="s">
        <v>55</v>
      </c>
      <c r="C1" s="7" t="s">
        <v>56</v>
      </c>
      <c r="D1" s="7" t="s">
        <v>57</v>
      </c>
      <c r="E1" s="7" t="s">
        <v>58</v>
      </c>
      <c r="F1" s="8" t="s">
        <v>59</v>
      </c>
    </row>
    <row r="2" spans="2:9">
      <c r="B2" s="5" t="s">
        <v>60</v>
      </c>
      <c r="C2" s="3">
        <v>0</v>
      </c>
      <c r="D2" s="3">
        <v>6.5</v>
      </c>
      <c r="E2" s="3"/>
      <c r="F2" s="4">
        <v>0</v>
      </c>
      <c r="H2" s="1">
        <v>0</v>
      </c>
      <c r="I2" s="1" t="s">
        <v>61</v>
      </c>
    </row>
    <row r="3" spans="2:9">
      <c r="B3" s="5" t="s">
        <v>62</v>
      </c>
      <c r="C3" s="3">
        <v>1</v>
      </c>
      <c r="D3" s="3">
        <v>11.5</v>
      </c>
      <c r="E3" s="3"/>
      <c r="F3" s="4">
        <v>0</v>
      </c>
      <c r="H3" s="1">
        <v>1</v>
      </c>
      <c r="I3" s="1" t="s">
        <v>63</v>
      </c>
    </row>
    <row r="4" spans="2:9">
      <c r="B4" s="5" t="s">
        <v>64</v>
      </c>
      <c r="C4" s="3">
        <v>1</v>
      </c>
      <c r="D4" s="3">
        <v>72</v>
      </c>
      <c r="E4" s="3"/>
      <c r="F4" s="4">
        <v>0</v>
      </c>
    </row>
    <row r="5" spans="2:9">
      <c r="B5" s="5" t="s">
        <v>65</v>
      </c>
      <c r="C5" s="3">
        <v>1</v>
      </c>
      <c r="D5" s="3">
        <v>6</v>
      </c>
      <c r="E5" s="3"/>
      <c r="F5" s="4">
        <v>0</v>
      </c>
    </row>
    <row r="6" spans="2:9">
      <c r="B6" s="5" t="s">
        <v>66</v>
      </c>
      <c r="C6" s="3">
        <v>0</v>
      </c>
      <c r="D6" s="3"/>
      <c r="E6" s="3"/>
      <c r="F6" s="4">
        <v>0</v>
      </c>
    </row>
    <row r="7" spans="2:9">
      <c r="B7" s="5" t="s">
        <v>67</v>
      </c>
      <c r="C7" s="3">
        <v>0</v>
      </c>
      <c r="D7" s="3"/>
      <c r="E7" s="3"/>
      <c r="F7" s="4">
        <v>0</v>
      </c>
    </row>
    <row r="8" spans="2:9">
      <c r="B8" s="5" t="s">
        <v>68</v>
      </c>
      <c r="C8" s="3">
        <v>0</v>
      </c>
      <c r="D8" s="3"/>
      <c r="E8" s="3"/>
      <c r="F8" s="4">
        <v>0</v>
      </c>
    </row>
    <row r="9" spans="2:9">
      <c r="B9" s="5" t="s">
        <v>69</v>
      </c>
      <c r="C9" s="3">
        <v>1</v>
      </c>
      <c r="D9" s="3">
        <v>4</v>
      </c>
      <c r="E9" s="3"/>
      <c r="F9" s="4">
        <v>0</v>
      </c>
    </row>
    <row r="10" spans="2:9">
      <c r="B10" s="5" t="s">
        <v>70</v>
      </c>
      <c r="C10" s="3">
        <v>1</v>
      </c>
      <c r="D10" s="3">
        <v>31.5</v>
      </c>
      <c r="E10" s="3">
        <v>25.75</v>
      </c>
      <c r="F10" s="4">
        <f t="shared" ref="F10:F24" si="0">(D10-E10)/D10</f>
        <v>0.18253968253968253</v>
      </c>
    </row>
    <row r="11" spans="2:9">
      <c r="B11" s="5" t="s">
        <v>71</v>
      </c>
      <c r="C11" s="3">
        <v>1</v>
      </c>
      <c r="D11" s="3">
        <v>48.95</v>
      </c>
      <c r="E11" s="3"/>
      <c r="F11" s="4">
        <v>0</v>
      </c>
    </row>
    <row r="12" spans="2:9">
      <c r="B12" s="5" t="s">
        <v>72</v>
      </c>
      <c r="C12" s="3">
        <v>1</v>
      </c>
      <c r="D12" s="3">
        <v>25.95</v>
      </c>
      <c r="E12" s="3"/>
      <c r="F12" s="4">
        <v>0</v>
      </c>
    </row>
    <row r="13" spans="2:9">
      <c r="B13" s="5" t="s">
        <v>73</v>
      </c>
      <c r="C13" s="3">
        <v>0</v>
      </c>
      <c r="D13" s="3"/>
      <c r="E13" s="3"/>
      <c r="F13" s="4">
        <v>0</v>
      </c>
    </row>
    <row r="14" spans="2:9">
      <c r="B14" s="5" t="s">
        <v>74</v>
      </c>
      <c r="C14" s="3">
        <v>1</v>
      </c>
      <c r="D14" s="3">
        <v>2.95</v>
      </c>
      <c r="E14" s="3"/>
      <c r="F14" s="4">
        <v>0</v>
      </c>
    </row>
    <row r="15" spans="2:9">
      <c r="B15" s="5" t="s">
        <v>75</v>
      </c>
      <c r="C15" s="3">
        <v>0</v>
      </c>
      <c r="D15" s="3"/>
      <c r="E15" s="3"/>
      <c r="F15" s="4">
        <v>0</v>
      </c>
    </row>
    <row r="16" spans="2:9">
      <c r="B16" s="5" t="s">
        <v>76</v>
      </c>
      <c r="C16" s="3">
        <v>1</v>
      </c>
      <c r="D16" s="3">
        <v>15.95</v>
      </c>
      <c r="E16" s="3">
        <v>11.95</v>
      </c>
      <c r="F16" s="4">
        <f t="shared" si="0"/>
        <v>0.25078369905956116</v>
      </c>
    </row>
    <row r="17" spans="2:6">
      <c r="D17" s="3"/>
    </row>
    <row r="18" spans="2:6">
      <c r="B18" s="3" t="s">
        <v>77</v>
      </c>
      <c r="C18" s="3">
        <v>1</v>
      </c>
      <c r="D18" s="3">
        <v>6.5</v>
      </c>
      <c r="E18" s="3"/>
      <c r="F18" s="4">
        <v>0</v>
      </c>
    </row>
    <row r="19" spans="2:6">
      <c r="B19" s="3" t="s">
        <v>78</v>
      </c>
      <c r="C19" s="3">
        <v>0</v>
      </c>
      <c r="D19" s="3"/>
      <c r="E19" s="3"/>
      <c r="F19" s="4">
        <v>0</v>
      </c>
    </row>
    <row r="20" spans="2:6">
      <c r="B20" s="3" t="s">
        <v>79</v>
      </c>
      <c r="C20" s="3">
        <v>0</v>
      </c>
      <c r="D20" s="3"/>
      <c r="E20" s="3"/>
      <c r="F20" s="4">
        <v>0</v>
      </c>
    </row>
    <row r="21" spans="2:6">
      <c r="B21" s="3" t="s">
        <v>80</v>
      </c>
      <c r="C21" s="3">
        <v>1</v>
      </c>
      <c r="D21" s="3">
        <v>6.5</v>
      </c>
      <c r="E21" s="3"/>
      <c r="F21" s="4">
        <v>0</v>
      </c>
    </row>
    <row r="22" spans="2:6">
      <c r="B22" s="3" t="s">
        <v>81</v>
      </c>
      <c r="C22" s="3">
        <v>0</v>
      </c>
      <c r="D22" s="3"/>
      <c r="E22" s="3"/>
      <c r="F22" s="4">
        <v>0</v>
      </c>
    </row>
    <row r="23" spans="2:6">
      <c r="B23" s="3" t="s">
        <v>82</v>
      </c>
      <c r="C23" s="3">
        <v>0</v>
      </c>
      <c r="D23" s="3">
        <v>4</v>
      </c>
      <c r="E23" s="3"/>
      <c r="F23" s="4">
        <v>0</v>
      </c>
    </row>
    <row r="24" spans="2:6">
      <c r="B24" s="3" t="s">
        <v>83</v>
      </c>
      <c r="C24" s="3">
        <v>0</v>
      </c>
      <c r="D24" s="3">
        <v>6.25</v>
      </c>
      <c r="E24" s="3"/>
      <c r="F24" s="4">
        <v>0</v>
      </c>
    </row>
    <row r="25" spans="2:6">
      <c r="B25" s="3" t="s">
        <v>84</v>
      </c>
      <c r="C25" s="3">
        <v>0</v>
      </c>
      <c r="D25" s="3"/>
      <c r="E25" s="3"/>
      <c r="F25" s="4">
        <v>0</v>
      </c>
    </row>
    <row r="26" spans="2:6">
      <c r="B26" s="3" t="s">
        <v>85</v>
      </c>
      <c r="C26" s="3">
        <v>0</v>
      </c>
      <c r="D26" s="3"/>
      <c r="E26" s="3"/>
      <c r="F26" s="4">
        <v>0</v>
      </c>
    </row>
    <row r="27" spans="2:6">
      <c r="B27" s="3" t="s">
        <v>86</v>
      </c>
      <c r="C27" s="3">
        <v>1</v>
      </c>
      <c r="D27" s="3">
        <v>8.9499999999999993</v>
      </c>
      <c r="E27" s="3">
        <v>5.79</v>
      </c>
      <c r="F27" s="4">
        <f t="shared" ref="F27:F34" si="1">(D27-E27)/D27</f>
        <v>0.35307262569832398</v>
      </c>
    </row>
    <row r="28" spans="2:6">
      <c r="B28" s="3" t="s">
        <v>87</v>
      </c>
      <c r="C28" s="3">
        <v>1</v>
      </c>
      <c r="D28" s="3">
        <v>4.95</v>
      </c>
      <c r="E28" s="3"/>
      <c r="F28" s="4">
        <v>0</v>
      </c>
    </row>
    <row r="29" spans="2:6">
      <c r="B29" s="3" t="s">
        <v>88</v>
      </c>
      <c r="C29" s="3">
        <v>1</v>
      </c>
      <c r="D29" s="3">
        <v>17.95</v>
      </c>
      <c r="E29" s="3">
        <v>15.25</v>
      </c>
      <c r="F29" s="4">
        <f t="shared" si="1"/>
        <v>0.15041782729805012</v>
      </c>
    </row>
    <row r="30" spans="2:6">
      <c r="B30" s="3" t="s">
        <v>89</v>
      </c>
      <c r="C30" s="3">
        <v>1</v>
      </c>
      <c r="D30" s="3">
        <v>9.9499999999999993</v>
      </c>
      <c r="E30" s="3"/>
      <c r="F30" s="4">
        <v>0</v>
      </c>
    </row>
    <row r="31" spans="2:6">
      <c r="B31" s="6" t="s">
        <v>90</v>
      </c>
      <c r="C31" s="3">
        <v>0</v>
      </c>
      <c r="D31" s="3">
        <v>4</v>
      </c>
      <c r="E31" s="3"/>
      <c r="F31" s="4">
        <v>0</v>
      </c>
    </row>
    <row r="32" spans="2:6">
      <c r="B32" s="3" t="s">
        <v>91</v>
      </c>
      <c r="C32" s="3">
        <v>1</v>
      </c>
      <c r="D32" s="3">
        <v>5.95</v>
      </c>
      <c r="E32" s="3"/>
      <c r="F32" s="4">
        <v>0</v>
      </c>
    </row>
    <row r="33" spans="2:6">
      <c r="B33" s="3" t="s">
        <v>92</v>
      </c>
      <c r="C33" s="3">
        <v>0</v>
      </c>
      <c r="D33" s="3">
        <v>4.5</v>
      </c>
      <c r="E33" s="3"/>
      <c r="F33" s="4">
        <v>0</v>
      </c>
    </row>
    <row r="34" spans="2:6">
      <c r="B34" s="3" t="s">
        <v>93</v>
      </c>
      <c r="C34" s="3">
        <v>1</v>
      </c>
      <c r="D34" s="3">
        <v>13.95</v>
      </c>
      <c r="E34" s="3">
        <v>11.95</v>
      </c>
      <c r="F34" s="4">
        <f t="shared" si="1"/>
        <v>0.14336917562724016</v>
      </c>
    </row>
    <row r="35" spans="2:6"/>
    <row r="36" spans="2:6"/>
    <row r="37" spans="2:6"/>
    <row r="38" spans="2:6"/>
    <row r="39" spans="2:6"/>
    <row r="40" spans="2:6"/>
    <row r="41" spans="2:6"/>
    <row r="42" spans="2:6"/>
    <row r="43" spans="2:6"/>
    <row r="44" spans="2:6"/>
    <row r="45" spans="2:6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6CDA-C856-472F-A856-BD6200A0EC35}">
  <dimension ref="B1:I45"/>
  <sheetViews>
    <sheetView workbookViewId="0">
      <pane ySplit="1" topLeftCell="A2" activePane="bottomLeft" state="frozen"/>
      <selection pane="bottomLeft"/>
    </sheetView>
  </sheetViews>
  <sheetFormatPr defaultColWidth="10.625" defaultRowHeight="15.75" customHeight="1"/>
  <cols>
    <col min="1" max="1" width="9" style="1" bestFit="1" customWidth="1"/>
    <col min="2" max="2" width="40.375" style="1" customWidth="1"/>
    <col min="3" max="5" width="20.625" style="1" customWidth="1"/>
    <col min="6" max="6" width="20.625" style="2" customWidth="1"/>
    <col min="7" max="10" width="9" style="1" bestFit="1" customWidth="1"/>
    <col min="11" max="11" width="43.875" style="1" bestFit="1" customWidth="1"/>
    <col min="12" max="15" width="14.75" style="1" customWidth="1"/>
    <col min="16" max="16384" width="10.625" style="1"/>
  </cols>
  <sheetData>
    <row r="1" spans="2:9">
      <c r="B1" s="7" t="s">
        <v>55</v>
      </c>
      <c r="C1" s="7" t="s">
        <v>56</v>
      </c>
      <c r="D1" s="7" t="s">
        <v>57</v>
      </c>
      <c r="E1" s="7" t="s">
        <v>58</v>
      </c>
      <c r="F1" s="8" t="s">
        <v>59</v>
      </c>
    </row>
    <row r="2" spans="2:9">
      <c r="B2" s="5" t="s">
        <v>60</v>
      </c>
      <c r="C2" s="3">
        <v>0</v>
      </c>
      <c r="D2" s="3">
        <v>6.5</v>
      </c>
      <c r="E2" s="3"/>
      <c r="F2" s="4">
        <v>0</v>
      </c>
      <c r="H2" s="1">
        <v>0</v>
      </c>
      <c r="I2" s="1" t="s">
        <v>61</v>
      </c>
    </row>
    <row r="3" spans="2:9">
      <c r="B3" s="5" t="s">
        <v>62</v>
      </c>
      <c r="C3" s="3">
        <v>1</v>
      </c>
      <c r="D3" s="3">
        <v>11.5</v>
      </c>
      <c r="E3" s="3"/>
      <c r="F3" s="4">
        <v>0</v>
      </c>
      <c r="H3" s="1">
        <v>1</v>
      </c>
      <c r="I3" s="1" t="s">
        <v>63</v>
      </c>
    </row>
    <row r="4" spans="2:9">
      <c r="B4" s="5" t="s">
        <v>64</v>
      </c>
      <c r="C4" s="3">
        <v>1</v>
      </c>
      <c r="D4" s="3">
        <v>72</v>
      </c>
      <c r="E4" s="3"/>
      <c r="F4" s="4">
        <v>0</v>
      </c>
    </row>
    <row r="5" spans="2:9">
      <c r="B5" s="5" t="s">
        <v>65</v>
      </c>
      <c r="C5" s="3">
        <v>1</v>
      </c>
      <c r="D5" s="3">
        <v>6</v>
      </c>
      <c r="E5" s="3"/>
      <c r="F5" s="4">
        <v>0</v>
      </c>
    </row>
    <row r="6" spans="2:9">
      <c r="B6" s="5" t="s">
        <v>66</v>
      </c>
      <c r="C6" s="3">
        <v>0</v>
      </c>
      <c r="D6" s="3"/>
      <c r="E6" s="3"/>
      <c r="F6" s="4">
        <v>0</v>
      </c>
    </row>
    <row r="7" spans="2:9">
      <c r="B7" s="5" t="s">
        <v>67</v>
      </c>
      <c r="C7" s="3">
        <v>0</v>
      </c>
      <c r="D7" s="3"/>
      <c r="E7" s="3"/>
      <c r="F7" s="4">
        <v>0</v>
      </c>
    </row>
    <row r="8" spans="2:9">
      <c r="B8" s="5" t="s">
        <v>68</v>
      </c>
      <c r="C8" s="3">
        <v>0</v>
      </c>
      <c r="D8" s="3"/>
      <c r="E8" s="3"/>
      <c r="F8" s="4">
        <v>0</v>
      </c>
    </row>
    <row r="9" spans="2:9">
      <c r="B9" s="5" t="s">
        <v>69</v>
      </c>
      <c r="C9" s="3">
        <v>1</v>
      </c>
      <c r="D9" s="3">
        <v>4</v>
      </c>
      <c r="E9" s="3"/>
      <c r="F9" s="4">
        <v>0</v>
      </c>
    </row>
    <row r="10" spans="2:9">
      <c r="B10" s="5" t="s">
        <v>70</v>
      </c>
      <c r="C10" s="3">
        <v>1</v>
      </c>
      <c r="D10" s="3">
        <v>31.5</v>
      </c>
      <c r="E10" s="3">
        <v>25.75</v>
      </c>
      <c r="F10" s="4">
        <f t="shared" ref="F10:F24" si="0">(D10-E10)/D10</f>
        <v>0.18253968253968253</v>
      </c>
    </row>
    <row r="11" spans="2:9">
      <c r="B11" s="5" t="s">
        <v>71</v>
      </c>
      <c r="C11" s="3">
        <v>1</v>
      </c>
      <c r="D11" s="3">
        <v>48.95</v>
      </c>
      <c r="E11" s="3"/>
      <c r="F11" s="4">
        <v>0</v>
      </c>
    </row>
    <row r="12" spans="2:9">
      <c r="B12" s="5" t="s">
        <v>72</v>
      </c>
      <c r="C12" s="3">
        <v>1</v>
      </c>
      <c r="D12" s="3">
        <v>25.95</v>
      </c>
      <c r="E12" s="3"/>
      <c r="F12" s="4">
        <v>0</v>
      </c>
    </row>
    <row r="13" spans="2:9">
      <c r="B13" s="5" t="s">
        <v>73</v>
      </c>
      <c r="C13" s="3">
        <v>0</v>
      </c>
      <c r="D13" s="3"/>
      <c r="E13" s="3"/>
      <c r="F13" s="4">
        <v>0</v>
      </c>
    </row>
    <row r="14" spans="2:9">
      <c r="B14" s="5" t="s">
        <v>74</v>
      </c>
      <c r="C14" s="3">
        <v>1</v>
      </c>
      <c r="D14" s="3">
        <v>2.95</v>
      </c>
      <c r="E14" s="3"/>
      <c r="F14" s="4">
        <v>0</v>
      </c>
    </row>
    <row r="15" spans="2:9">
      <c r="B15" s="5" t="s">
        <v>75</v>
      </c>
      <c r="C15" s="3">
        <v>0</v>
      </c>
      <c r="D15" s="3"/>
      <c r="E15" s="3"/>
      <c r="F15" s="4">
        <v>0</v>
      </c>
    </row>
    <row r="16" spans="2:9">
      <c r="B16" s="5" t="s">
        <v>76</v>
      </c>
      <c r="C16" s="3">
        <v>1</v>
      </c>
      <c r="D16" s="3">
        <v>15.95</v>
      </c>
      <c r="E16" s="3">
        <v>11.95</v>
      </c>
      <c r="F16" s="4">
        <f t="shared" si="0"/>
        <v>0.25078369905956116</v>
      </c>
    </row>
    <row r="17" spans="2:6">
      <c r="D17" s="3"/>
    </row>
    <row r="18" spans="2:6">
      <c r="B18" s="3" t="s">
        <v>77</v>
      </c>
      <c r="C18" s="3">
        <v>1</v>
      </c>
      <c r="D18" s="3">
        <v>6.5</v>
      </c>
      <c r="E18" s="3"/>
      <c r="F18" s="4">
        <v>0</v>
      </c>
    </row>
    <row r="19" spans="2:6">
      <c r="B19" s="3" t="s">
        <v>78</v>
      </c>
      <c r="C19" s="3">
        <v>0</v>
      </c>
      <c r="D19" s="3"/>
      <c r="E19" s="3"/>
      <c r="F19" s="4">
        <v>0</v>
      </c>
    </row>
    <row r="20" spans="2:6">
      <c r="B20" s="3" t="s">
        <v>79</v>
      </c>
      <c r="C20" s="3">
        <v>0</v>
      </c>
      <c r="D20" s="3"/>
      <c r="E20" s="3"/>
      <c r="F20" s="4">
        <v>0</v>
      </c>
    </row>
    <row r="21" spans="2:6">
      <c r="B21" s="3" t="s">
        <v>80</v>
      </c>
      <c r="C21" s="3">
        <v>1</v>
      </c>
      <c r="D21" s="3">
        <v>6.5</v>
      </c>
      <c r="E21" s="3"/>
      <c r="F21" s="4">
        <v>0</v>
      </c>
    </row>
    <row r="22" spans="2:6">
      <c r="B22" s="3" t="s">
        <v>81</v>
      </c>
      <c r="C22" s="3">
        <v>0</v>
      </c>
      <c r="D22" s="3"/>
      <c r="E22" s="3"/>
      <c r="F22" s="4">
        <v>0</v>
      </c>
    </row>
    <row r="23" spans="2:6">
      <c r="B23" s="3" t="s">
        <v>82</v>
      </c>
      <c r="C23" s="3">
        <v>0</v>
      </c>
      <c r="D23" s="3">
        <v>4</v>
      </c>
      <c r="E23" s="3"/>
      <c r="F23" s="4">
        <v>0</v>
      </c>
    </row>
    <row r="24" spans="2:6">
      <c r="B24" s="3" t="s">
        <v>83</v>
      </c>
      <c r="C24" s="3">
        <v>0</v>
      </c>
      <c r="D24" s="3">
        <v>6.25</v>
      </c>
      <c r="E24" s="3"/>
      <c r="F24" s="4">
        <v>0</v>
      </c>
    </row>
    <row r="25" spans="2:6">
      <c r="B25" s="3" t="s">
        <v>84</v>
      </c>
      <c r="C25" s="3">
        <v>0</v>
      </c>
      <c r="D25" s="3"/>
      <c r="E25" s="3"/>
      <c r="F25" s="4">
        <v>0</v>
      </c>
    </row>
    <row r="26" spans="2:6">
      <c r="B26" s="3" t="s">
        <v>85</v>
      </c>
      <c r="C26" s="3">
        <v>0</v>
      </c>
      <c r="D26" s="3"/>
      <c r="E26" s="3"/>
      <c r="F26" s="4">
        <v>0</v>
      </c>
    </row>
    <row r="27" spans="2:6">
      <c r="B27" s="3" t="s">
        <v>86</v>
      </c>
      <c r="C27" s="3">
        <v>1</v>
      </c>
      <c r="D27" s="3">
        <v>8.9499999999999993</v>
      </c>
      <c r="E27" s="3">
        <v>5.79</v>
      </c>
      <c r="F27" s="4">
        <f t="shared" ref="F27:F34" si="1">(D27-E27)/D27</f>
        <v>0.35307262569832398</v>
      </c>
    </row>
    <row r="28" spans="2:6">
      <c r="B28" s="3" t="s">
        <v>87</v>
      </c>
      <c r="C28" s="3">
        <v>1</v>
      </c>
      <c r="D28" s="3">
        <v>4.95</v>
      </c>
      <c r="E28" s="3"/>
      <c r="F28" s="4">
        <v>0</v>
      </c>
    </row>
    <row r="29" spans="2:6">
      <c r="B29" s="3" t="s">
        <v>88</v>
      </c>
      <c r="C29" s="3">
        <v>1</v>
      </c>
      <c r="D29" s="3">
        <v>17.95</v>
      </c>
      <c r="E29" s="3">
        <v>15.25</v>
      </c>
      <c r="F29" s="4">
        <f t="shared" si="1"/>
        <v>0.15041782729805012</v>
      </c>
    </row>
    <row r="30" spans="2:6">
      <c r="B30" s="3" t="s">
        <v>89</v>
      </c>
      <c r="C30" s="3">
        <v>1</v>
      </c>
      <c r="D30" s="3">
        <v>9.9499999999999993</v>
      </c>
      <c r="E30" s="3"/>
      <c r="F30" s="4">
        <v>0</v>
      </c>
    </row>
    <row r="31" spans="2:6">
      <c r="B31" s="6" t="s">
        <v>90</v>
      </c>
      <c r="C31" s="3">
        <v>1</v>
      </c>
      <c r="D31" s="3">
        <v>4</v>
      </c>
      <c r="E31" s="3"/>
      <c r="F31" s="4">
        <v>0</v>
      </c>
    </row>
    <row r="32" spans="2:6">
      <c r="B32" s="3" t="s">
        <v>91</v>
      </c>
      <c r="C32" s="3">
        <v>1</v>
      </c>
      <c r="D32" s="3">
        <v>5.95</v>
      </c>
      <c r="E32" s="3"/>
      <c r="F32" s="4">
        <v>0</v>
      </c>
    </row>
    <row r="33" spans="2:6">
      <c r="B33" s="3" t="s">
        <v>92</v>
      </c>
      <c r="C33" s="3">
        <v>1</v>
      </c>
      <c r="D33" s="3">
        <v>4.5</v>
      </c>
      <c r="E33" s="3"/>
      <c r="F33" s="4">
        <v>0</v>
      </c>
    </row>
    <row r="34" spans="2:6">
      <c r="B34" s="3" t="s">
        <v>93</v>
      </c>
      <c r="C34" s="3">
        <v>1</v>
      </c>
      <c r="D34" s="3">
        <v>13.95</v>
      </c>
      <c r="E34" s="3">
        <v>11.95</v>
      </c>
      <c r="F34" s="4">
        <f t="shared" si="1"/>
        <v>0.14336917562724016</v>
      </c>
    </row>
    <row r="35" spans="2:6"/>
    <row r="36" spans="2:6"/>
    <row r="37" spans="2:6"/>
    <row r="38" spans="2:6"/>
    <row r="39" spans="2:6"/>
    <row r="40" spans="2:6"/>
    <row r="41" spans="2:6"/>
    <row r="42" spans="2:6"/>
    <row r="43" spans="2:6"/>
    <row r="44" spans="2:6"/>
    <row r="45" spans="2: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8EA9-5B78-4C1E-8160-6C553371B5F0}">
  <dimension ref="B1:I45"/>
  <sheetViews>
    <sheetView workbookViewId="0">
      <pane ySplit="1" topLeftCell="A2" activePane="bottomLeft" state="frozen"/>
      <selection pane="bottomLeft"/>
    </sheetView>
  </sheetViews>
  <sheetFormatPr defaultColWidth="10.625" defaultRowHeight="15.75" customHeight="1"/>
  <cols>
    <col min="1" max="1" width="9" style="1" bestFit="1" customWidth="1"/>
    <col min="2" max="2" width="40.375" style="1" customWidth="1"/>
    <col min="3" max="5" width="20.625" style="1" customWidth="1"/>
    <col min="6" max="6" width="20.625" style="2" customWidth="1"/>
    <col min="7" max="10" width="9" style="1" bestFit="1" customWidth="1"/>
    <col min="11" max="11" width="43.875" style="1" bestFit="1" customWidth="1"/>
    <col min="12" max="15" width="14.75" style="1" customWidth="1"/>
    <col min="16" max="16384" width="10.625" style="1"/>
  </cols>
  <sheetData>
    <row r="1" spans="2:9">
      <c r="B1" s="7" t="s">
        <v>55</v>
      </c>
      <c r="C1" s="7" t="s">
        <v>56</v>
      </c>
      <c r="D1" s="7" t="s">
        <v>57</v>
      </c>
      <c r="E1" s="7" t="s">
        <v>58</v>
      </c>
      <c r="F1" s="8" t="s">
        <v>59</v>
      </c>
    </row>
    <row r="2" spans="2:9">
      <c r="B2" s="5" t="s">
        <v>60</v>
      </c>
      <c r="C2" s="3">
        <v>0</v>
      </c>
      <c r="D2" s="3">
        <v>6.5</v>
      </c>
      <c r="E2" s="3"/>
      <c r="F2" s="4">
        <v>0</v>
      </c>
      <c r="H2" s="1">
        <v>0</v>
      </c>
      <c r="I2" s="1" t="s">
        <v>61</v>
      </c>
    </row>
    <row r="3" spans="2:9">
      <c r="B3" s="5" t="s">
        <v>62</v>
      </c>
      <c r="C3" s="3">
        <v>1</v>
      </c>
      <c r="D3" s="3">
        <v>11.5</v>
      </c>
      <c r="E3" s="3"/>
      <c r="F3" s="4">
        <v>0</v>
      </c>
      <c r="H3" s="1">
        <v>1</v>
      </c>
      <c r="I3" s="1" t="s">
        <v>63</v>
      </c>
    </row>
    <row r="4" spans="2:9">
      <c r="B4" s="5" t="s">
        <v>64</v>
      </c>
      <c r="C4" s="3">
        <v>1</v>
      </c>
      <c r="D4" s="3">
        <v>72</v>
      </c>
      <c r="E4" s="3"/>
      <c r="F4" s="4">
        <v>0</v>
      </c>
    </row>
    <row r="5" spans="2:9">
      <c r="B5" s="5" t="s">
        <v>65</v>
      </c>
      <c r="C5" s="3">
        <v>1</v>
      </c>
      <c r="D5" s="3">
        <v>6</v>
      </c>
      <c r="E5" s="3"/>
      <c r="F5" s="4">
        <v>0</v>
      </c>
    </row>
    <row r="6" spans="2:9">
      <c r="B6" s="5" t="s">
        <v>66</v>
      </c>
      <c r="C6" s="3">
        <v>0</v>
      </c>
      <c r="D6" s="3"/>
      <c r="E6" s="3"/>
      <c r="F6" s="4">
        <v>0</v>
      </c>
    </row>
    <row r="7" spans="2:9">
      <c r="B7" s="5" t="s">
        <v>67</v>
      </c>
      <c r="C7" s="3">
        <v>0</v>
      </c>
      <c r="D7" s="3"/>
      <c r="E7" s="3"/>
      <c r="F7" s="4">
        <v>0</v>
      </c>
    </row>
    <row r="8" spans="2:9">
      <c r="B8" s="5" t="s">
        <v>68</v>
      </c>
      <c r="C8" s="3">
        <v>0</v>
      </c>
      <c r="D8" s="3"/>
      <c r="E8" s="3"/>
      <c r="F8" s="4">
        <v>0</v>
      </c>
    </row>
    <row r="9" spans="2:9">
      <c r="B9" s="5" t="s">
        <v>69</v>
      </c>
      <c r="C9" s="3">
        <v>1</v>
      </c>
      <c r="D9" s="3">
        <v>4</v>
      </c>
      <c r="E9" s="3"/>
      <c r="F9" s="4">
        <v>0</v>
      </c>
    </row>
    <row r="10" spans="2:9">
      <c r="B10" s="5" t="s">
        <v>70</v>
      </c>
      <c r="C10" s="3">
        <v>1</v>
      </c>
      <c r="D10" s="3">
        <v>31.5</v>
      </c>
      <c r="E10" s="3">
        <v>25.75</v>
      </c>
      <c r="F10" s="4">
        <f t="shared" ref="F10:F24" si="0">(D10-E10)/D10</f>
        <v>0.18253968253968253</v>
      </c>
    </row>
    <row r="11" spans="2:9">
      <c r="B11" s="5" t="s">
        <v>71</v>
      </c>
      <c r="C11" s="3">
        <v>1</v>
      </c>
      <c r="D11" s="3">
        <v>48.95</v>
      </c>
      <c r="E11" s="3"/>
      <c r="F11" s="4">
        <v>0</v>
      </c>
    </row>
    <row r="12" spans="2:9">
      <c r="B12" s="5" t="s">
        <v>72</v>
      </c>
      <c r="C12" s="3">
        <v>1</v>
      </c>
      <c r="D12" s="3">
        <v>25.95</v>
      </c>
      <c r="E12" s="3"/>
      <c r="F12" s="4">
        <v>0</v>
      </c>
    </row>
    <row r="13" spans="2:9">
      <c r="B13" s="5" t="s">
        <v>73</v>
      </c>
      <c r="C13" s="3">
        <v>0</v>
      </c>
      <c r="D13" s="3"/>
      <c r="E13" s="3"/>
      <c r="F13" s="4">
        <v>0</v>
      </c>
    </row>
    <row r="14" spans="2:9">
      <c r="B14" s="5" t="s">
        <v>74</v>
      </c>
      <c r="C14" s="3">
        <v>1</v>
      </c>
      <c r="D14" s="3">
        <v>2.95</v>
      </c>
      <c r="E14" s="3"/>
      <c r="F14" s="4">
        <v>0</v>
      </c>
    </row>
    <row r="15" spans="2:9">
      <c r="B15" s="5" t="s">
        <v>75</v>
      </c>
      <c r="C15" s="3">
        <v>0</v>
      </c>
      <c r="D15" s="3"/>
      <c r="E15" s="3"/>
      <c r="F15" s="4">
        <v>0</v>
      </c>
    </row>
    <row r="16" spans="2:9">
      <c r="B16" s="5" t="s">
        <v>76</v>
      </c>
      <c r="C16" s="3">
        <v>1</v>
      </c>
      <c r="D16" s="3">
        <v>15.95</v>
      </c>
      <c r="E16" s="3">
        <v>11.95</v>
      </c>
      <c r="F16" s="4">
        <f t="shared" si="0"/>
        <v>0.25078369905956116</v>
      </c>
    </row>
    <row r="17" spans="2:6">
      <c r="D17" s="3"/>
    </row>
    <row r="18" spans="2:6">
      <c r="B18" s="3" t="s">
        <v>77</v>
      </c>
      <c r="C18" s="3">
        <v>1</v>
      </c>
      <c r="D18" s="3">
        <v>6.5</v>
      </c>
      <c r="E18" s="3"/>
      <c r="F18" s="4">
        <v>0</v>
      </c>
    </row>
    <row r="19" spans="2:6">
      <c r="B19" s="3" t="s">
        <v>78</v>
      </c>
      <c r="C19" s="3">
        <v>0</v>
      </c>
      <c r="D19" s="3"/>
      <c r="E19" s="3"/>
      <c r="F19" s="4">
        <v>0</v>
      </c>
    </row>
    <row r="20" spans="2:6">
      <c r="B20" s="3" t="s">
        <v>79</v>
      </c>
      <c r="C20" s="3">
        <v>0</v>
      </c>
      <c r="D20" s="3"/>
      <c r="E20" s="3"/>
      <c r="F20" s="4">
        <v>0</v>
      </c>
    </row>
    <row r="21" spans="2:6">
      <c r="B21" s="3" t="s">
        <v>80</v>
      </c>
      <c r="C21" s="3">
        <v>1</v>
      </c>
      <c r="D21" s="3">
        <v>6.5</v>
      </c>
      <c r="E21" s="3"/>
      <c r="F21" s="4">
        <v>0</v>
      </c>
    </row>
    <row r="22" spans="2:6">
      <c r="B22" s="3" t="s">
        <v>81</v>
      </c>
      <c r="C22" s="3">
        <v>0</v>
      </c>
      <c r="D22" s="3"/>
      <c r="E22" s="3"/>
      <c r="F22" s="4">
        <v>0</v>
      </c>
    </row>
    <row r="23" spans="2:6">
      <c r="B23" s="3" t="s">
        <v>82</v>
      </c>
      <c r="C23" s="3">
        <v>0</v>
      </c>
      <c r="D23" s="3">
        <v>4</v>
      </c>
      <c r="E23" s="3"/>
      <c r="F23" s="4">
        <v>0</v>
      </c>
    </row>
    <row r="24" spans="2:6">
      <c r="B24" s="3" t="s">
        <v>83</v>
      </c>
      <c r="C24" s="3">
        <v>1</v>
      </c>
      <c r="D24" s="3">
        <v>6.25</v>
      </c>
      <c r="E24" s="3"/>
      <c r="F24" s="4">
        <v>0</v>
      </c>
    </row>
    <row r="25" spans="2:6">
      <c r="B25" s="3" t="s">
        <v>84</v>
      </c>
      <c r="C25" s="3">
        <v>0</v>
      </c>
      <c r="D25" s="3"/>
      <c r="E25" s="3"/>
      <c r="F25" s="4">
        <v>0</v>
      </c>
    </row>
    <row r="26" spans="2:6">
      <c r="B26" s="3" t="s">
        <v>85</v>
      </c>
      <c r="C26" s="3">
        <v>0</v>
      </c>
      <c r="D26" s="3"/>
      <c r="E26" s="3"/>
      <c r="F26" s="4">
        <v>0</v>
      </c>
    </row>
    <row r="27" spans="2:6">
      <c r="B27" s="3" t="s">
        <v>86</v>
      </c>
      <c r="C27" s="3">
        <v>1</v>
      </c>
      <c r="D27" s="3">
        <v>8.9499999999999993</v>
      </c>
      <c r="E27" s="3">
        <v>5.79</v>
      </c>
      <c r="F27" s="4">
        <f t="shared" ref="F27:F34" si="1">(D27-E27)/D27</f>
        <v>0.35307262569832398</v>
      </c>
    </row>
    <row r="28" spans="2:6">
      <c r="B28" s="3" t="s">
        <v>87</v>
      </c>
      <c r="C28" s="3">
        <v>1</v>
      </c>
      <c r="D28" s="3">
        <v>4.95</v>
      </c>
      <c r="E28" s="3"/>
      <c r="F28" s="4">
        <v>0</v>
      </c>
    </row>
    <row r="29" spans="2:6">
      <c r="B29" s="3" t="s">
        <v>88</v>
      </c>
      <c r="C29" s="3">
        <v>1</v>
      </c>
      <c r="D29" s="3">
        <v>17.95</v>
      </c>
      <c r="E29" s="3">
        <v>15.25</v>
      </c>
      <c r="F29" s="4">
        <f t="shared" si="1"/>
        <v>0.15041782729805012</v>
      </c>
    </row>
    <row r="30" spans="2:6">
      <c r="B30" s="3" t="s">
        <v>89</v>
      </c>
      <c r="C30" s="3">
        <v>1</v>
      </c>
      <c r="D30" s="3">
        <v>9.9499999999999993</v>
      </c>
      <c r="E30" s="3"/>
      <c r="F30" s="4">
        <v>0</v>
      </c>
    </row>
    <row r="31" spans="2:6">
      <c r="B31" s="6" t="s">
        <v>90</v>
      </c>
      <c r="C31" s="3">
        <v>0</v>
      </c>
      <c r="D31" s="3">
        <v>4</v>
      </c>
      <c r="E31" s="3"/>
      <c r="F31" s="4">
        <v>0</v>
      </c>
    </row>
    <row r="32" spans="2:6">
      <c r="B32" s="3" t="s">
        <v>91</v>
      </c>
      <c r="C32" s="3">
        <v>1</v>
      </c>
      <c r="D32" s="3">
        <v>5.95</v>
      </c>
      <c r="E32" s="3"/>
      <c r="F32" s="4">
        <v>0</v>
      </c>
    </row>
    <row r="33" spans="2:6">
      <c r="B33" s="3" t="s">
        <v>92</v>
      </c>
      <c r="C33" s="3">
        <v>0</v>
      </c>
      <c r="D33" s="3">
        <v>4.5</v>
      </c>
      <c r="E33" s="3"/>
      <c r="F33" s="4">
        <v>0</v>
      </c>
    </row>
    <row r="34" spans="2:6">
      <c r="B34" s="3" t="s">
        <v>93</v>
      </c>
      <c r="C34" s="3">
        <v>1</v>
      </c>
      <c r="D34" s="3">
        <v>13.95</v>
      </c>
      <c r="E34" s="3">
        <v>11.95</v>
      </c>
      <c r="F34" s="4">
        <f t="shared" si="1"/>
        <v>0.14336917562724016</v>
      </c>
    </row>
    <row r="35" spans="2:6"/>
    <row r="36" spans="2:6"/>
    <row r="37" spans="2:6"/>
    <row r="38" spans="2:6"/>
    <row r="39" spans="2:6"/>
    <row r="40" spans="2:6"/>
    <row r="41" spans="2:6"/>
    <row r="42" spans="2:6"/>
    <row r="43" spans="2:6"/>
    <row r="44" spans="2:6"/>
    <row r="45" spans="2:6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5AC2-39EA-490C-8EA9-7C2DB375592C}">
  <dimension ref="B1:I45"/>
  <sheetViews>
    <sheetView workbookViewId="0">
      <pane ySplit="1" topLeftCell="A2" activePane="bottomLeft" state="frozen"/>
      <selection pane="bottomLeft"/>
    </sheetView>
  </sheetViews>
  <sheetFormatPr defaultColWidth="10.625" defaultRowHeight="15.75" customHeight="1"/>
  <cols>
    <col min="1" max="1" width="9" style="1" bestFit="1" customWidth="1"/>
    <col min="2" max="2" width="40.375" style="1" customWidth="1"/>
    <col min="3" max="5" width="20.625" style="1" customWidth="1"/>
    <col min="6" max="6" width="20.625" style="2" customWidth="1"/>
    <col min="7" max="10" width="9" style="1" bestFit="1" customWidth="1"/>
    <col min="11" max="11" width="43.875" style="1" bestFit="1" customWidth="1"/>
    <col min="12" max="15" width="14.75" style="1" customWidth="1"/>
    <col min="16" max="16384" width="10.625" style="1"/>
  </cols>
  <sheetData>
    <row r="1" spans="2:9">
      <c r="B1" s="7" t="s">
        <v>55</v>
      </c>
      <c r="C1" s="7" t="s">
        <v>56</v>
      </c>
      <c r="D1" s="7" t="s">
        <v>57</v>
      </c>
      <c r="E1" s="7" t="s">
        <v>58</v>
      </c>
      <c r="F1" s="8" t="s">
        <v>59</v>
      </c>
    </row>
    <row r="2" spans="2:9">
      <c r="B2" s="5" t="s">
        <v>60</v>
      </c>
      <c r="C2" s="3">
        <v>0</v>
      </c>
      <c r="D2" s="3">
        <v>6.5</v>
      </c>
      <c r="E2" s="3"/>
      <c r="F2" s="4">
        <v>0</v>
      </c>
      <c r="H2" s="1">
        <v>0</v>
      </c>
      <c r="I2" s="1" t="s">
        <v>61</v>
      </c>
    </row>
    <row r="3" spans="2:9">
      <c r="B3" s="5" t="s">
        <v>62</v>
      </c>
      <c r="C3" s="3">
        <v>1</v>
      </c>
      <c r="D3" s="3">
        <v>11.5</v>
      </c>
      <c r="E3" s="3"/>
      <c r="F3" s="4">
        <v>0</v>
      </c>
      <c r="H3" s="1">
        <v>1</v>
      </c>
      <c r="I3" s="1" t="s">
        <v>63</v>
      </c>
    </row>
    <row r="4" spans="2:9">
      <c r="B4" s="5" t="s">
        <v>64</v>
      </c>
      <c r="C4" s="3">
        <v>0</v>
      </c>
      <c r="D4" s="3">
        <v>72</v>
      </c>
      <c r="E4" s="3"/>
      <c r="F4" s="4">
        <v>0</v>
      </c>
    </row>
    <row r="5" spans="2:9">
      <c r="B5" s="5" t="s">
        <v>65</v>
      </c>
      <c r="C5" s="3">
        <v>1</v>
      </c>
      <c r="D5" s="3">
        <v>6</v>
      </c>
      <c r="E5" s="3"/>
      <c r="F5" s="4">
        <v>0</v>
      </c>
    </row>
    <row r="6" spans="2:9">
      <c r="B6" s="5" t="s">
        <v>66</v>
      </c>
      <c r="C6" s="3">
        <v>0</v>
      </c>
      <c r="D6" s="3"/>
      <c r="E6" s="3"/>
      <c r="F6" s="4">
        <v>0</v>
      </c>
    </row>
    <row r="7" spans="2:9">
      <c r="B7" s="5" t="s">
        <v>67</v>
      </c>
      <c r="C7" s="3">
        <v>0</v>
      </c>
      <c r="D7" s="3"/>
      <c r="E7" s="3"/>
      <c r="F7" s="4">
        <v>0</v>
      </c>
    </row>
    <row r="8" spans="2:9">
      <c r="B8" s="5" t="s">
        <v>68</v>
      </c>
      <c r="C8" s="3">
        <v>0</v>
      </c>
      <c r="D8" s="3"/>
      <c r="E8" s="3"/>
      <c r="F8" s="4">
        <v>0</v>
      </c>
    </row>
    <row r="9" spans="2:9">
      <c r="B9" s="5" t="s">
        <v>69</v>
      </c>
      <c r="C9" s="3">
        <v>1</v>
      </c>
      <c r="D9" s="3">
        <v>4</v>
      </c>
      <c r="E9" s="3"/>
      <c r="F9" s="4">
        <v>0</v>
      </c>
    </row>
    <row r="10" spans="2:9">
      <c r="B10" s="5" t="s">
        <v>70</v>
      </c>
      <c r="C10" s="3">
        <v>1</v>
      </c>
      <c r="D10" s="3">
        <v>31.5</v>
      </c>
      <c r="E10" s="3">
        <v>25.75</v>
      </c>
      <c r="F10" s="4">
        <f t="shared" ref="F10:F24" si="0">(D10-E10)/D10</f>
        <v>0.18253968253968253</v>
      </c>
    </row>
    <row r="11" spans="2:9">
      <c r="B11" s="5" t="s">
        <v>71</v>
      </c>
      <c r="C11" s="3">
        <v>1</v>
      </c>
      <c r="D11" s="3">
        <v>48.95</v>
      </c>
      <c r="E11" s="3"/>
      <c r="F11" s="4">
        <v>0</v>
      </c>
    </row>
    <row r="12" spans="2:9">
      <c r="B12" s="5" t="s">
        <v>72</v>
      </c>
      <c r="C12" s="3">
        <v>1</v>
      </c>
      <c r="D12" s="3">
        <v>25.95</v>
      </c>
      <c r="E12" s="3"/>
      <c r="F12" s="4">
        <v>0</v>
      </c>
    </row>
    <row r="13" spans="2:9">
      <c r="B13" s="5" t="s">
        <v>73</v>
      </c>
      <c r="C13" s="3">
        <v>0</v>
      </c>
      <c r="D13" s="3"/>
      <c r="E13" s="3"/>
      <c r="F13" s="4">
        <v>0</v>
      </c>
    </row>
    <row r="14" spans="2:9">
      <c r="B14" s="5" t="s">
        <v>74</v>
      </c>
      <c r="C14" s="3">
        <v>1</v>
      </c>
      <c r="D14" s="3">
        <v>2.95</v>
      </c>
      <c r="E14" s="3"/>
      <c r="F14" s="4">
        <v>0</v>
      </c>
    </row>
    <row r="15" spans="2:9">
      <c r="B15" s="5" t="s">
        <v>75</v>
      </c>
      <c r="C15" s="3">
        <v>0</v>
      </c>
      <c r="D15" s="3"/>
      <c r="E15" s="3"/>
      <c r="F15" s="4">
        <v>0</v>
      </c>
    </row>
    <row r="16" spans="2:9">
      <c r="B16" s="5" t="s">
        <v>76</v>
      </c>
      <c r="C16" s="3">
        <v>1</v>
      </c>
      <c r="D16" s="3">
        <v>15.95</v>
      </c>
      <c r="E16" s="3">
        <v>11.95</v>
      </c>
      <c r="F16" s="4">
        <f t="shared" si="0"/>
        <v>0.25078369905956116</v>
      </c>
    </row>
    <row r="17" spans="2:6">
      <c r="D17" s="3"/>
    </row>
    <row r="18" spans="2:6">
      <c r="B18" s="3" t="s">
        <v>77</v>
      </c>
      <c r="C18" s="3">
        <v>1</v>
      </c>
      <c r="D18" s="3">
        <v>6.5</v>
      </c>
      <c r="E18" s="3"/>
      <c r="F18" s="4">
        <v>0</v>
      </c>
    </row>
    <row r="19" spans="2:6">
      <c r="B19" s="3" t="s">
        <v>78</v>
      </c>
      <c r="C19" s="3">
        <v>0</v>
      </c>
      <c r="D19" s="3"/>
      <c r="E19" s="3"/>
      <c r="F19" s="4">
        <v>0</v>
      </c>
    </row>
    <row r="20" spans="2:6">
      <c r="B20" s="3" t="s">
        <v>79</v>
      </c>
      <c r="C20" s="3">
        <v>0</v>
      </c>
      <c r="D20" s="3"/>
      <c r="E20" s="3"/>
      <c r="F20" s="4">
        <v>0</v>
      </c>
    </row>
    <row r="21" spans="2:6">
      <c r="B21" s="3" t="s">
        <v>80</v>
      </c>
      <c r="C21" s="3">
        <v>1</v>
      </c>
      <c r="D21" s="3">
        <v>6.5</v>
      </c>
      <c r="E21" s="3"/>
      <c r="F21" s="4">
        <v>0</v>
      </c>
    </row>
    <row r="22" spans="2:6">
      <c r="B22" s="3" t="s">
        <v>81</v>
      </c>
      <c r="C22" s="3">
        <v>0</v>
      </c>
      <c r="D22" s="3"/>
      <c r="E22" s="3"/>
      <c r="F22" s="4">
        <v>0</v>
      </c>
    </row>
    <row r="23" spans="2:6">
      <c r="B23" s="3" t="s">
        <v>82</v>
      </c>
      <c r="C23" s="3">
        <v>0</v>
      </c>
      <c r="D23" s="3">
        <v>4</v>
      </c>
      <c r="E23" s="3"/>
      <c r="F23" s="4">
        <v>0</v>
      </c>
    </row>
    <row r="24" spans="2:6">
      <c r="B24" s="3" t="s">
        <v>83</v>
      </c>
      <c r="C24" s="3">
        <v>1</v>
      </c>
      <c r="D24" s="3">
        <v>6.25</v>
      </c>
      <c r="E24" s="3"/>
      <c r="F24" s="4">
        <v>0</v>
      </c>
    </row>
    <row r="25" spans="2:6">
      <c r="B25" s="3" t="s">
        <v>84</v>
      </c>
      <c r="C25" s="3">
        <v>0</v>
      </c>
      <c r="D25" s="3"/>
      <c r="E25" s="3"/>
      <c r="F25" s="4">
        <v>0</v>
      </c>
    </row>
    <row r="26" spans="2:6">
      <c r="B26" s="3" t="s">
        <v>85</v>
      </c>
      <c r="C26" s="3">
        <v>0</v>
      </c>
      <c r="D26" s="3"/>
      <c r="E26" s="3"/>
      <c r="F26" s="4">
        <v>0</v>
      </c>
    </row>
    <row r="27" spans="2:6">
      <c r="B27" s="3" t="s">
        <v>86</v>
      </c>
      <c r="C27" s="3">
        <v>1</v>
      </c>
      <c r="D27" s="3">
        <v>8.9499999999999993</v>
      </c>
      <c r="E27" s="3">
        <v>5.79</v>
      </c>
      <c r="F27" s="4">
        <f t="shared" ref="F27:F34" si="1">(D27-E27)/D27</f>
        <v>0.35307262569832398</v>
      </c>
    </row>
    <row r="28" spans="2:6">
      <c r="B28" s="3" t="s">
        <v>87</v>
      </c>
      <c r="C28" s="3">
        <v>1</v>
      </c>
      <c r="D28" s="3">
        <v>4.95</v>
      </c>
      <c r="E28" s="3"/>
      <c r="F28" s="4">
        <v>0</v>
      </c>
    </row>
    <row r="29" spans="2:6">
      <c r="B29" s="3" t="s">
        <v>88</v>
      </c>
      <c r="C29" s="3">
        <v>1</v>
      </c>
      <c r="D29" s="3">
        <v>17.95</v>
      </c>
      <c r="E29" s="3">
        <v>15.25</v>
      </c>
      <c r="F29" s="4">
        <f t="shared" si="1"/>
        <v>0.15041782729805012</v>
      </c>
    </row>
    <row r="30" spans="2:6">
      <c r="B30" s="3" t="s">
        <v>89</v>
      </c>
      <c r="C30" s="3">
        <v>1</v>
      </c>
      <c r="D30" s="3">
        <v>9.9499999999999993</v>
      </c>
      <c r="E30" s="3"/>
      <c r="F30" s="4">
        <v>0</v>
      </c>
    </row>
    <row r="31" spans="2:6">
      <c r="B31" s="6" t="s">
        <v>90</v>
      </c>
      <c r="C31" s="3">
        <v>0</v>
      </c>
      <c r="D31" s="3">
        <v>4</v>
      </c>
      <c r="E31" s="3"/>
      <c r="F31" s="4">
        <v>0</v>
      </c>
    </row>
    <row r="32" spans="2:6">
      <c r="B32" s="3" t="s">
        <v>91</v>
      </c>
      <c r="C32" s="3">
        <v>1</v>
      </c>
      <c r="D32" s="3">
        <v>5.95</v>
      </c>
      <c r="E32" s="3"/>
      <c r="F32" s="4">
        <v>0</v>
      </c>
    </row>
    <row r="33" spans="2:6">
      <c r="B33" s="3" t="s">
        <v>92</v>
      </c>
      <c r="C33" s="3">
        <v>0</v>
      </c>
      <c r="D33" s="3">
        <v>4.5</v>
      </c>
      <c r="E33" s="3"/>
      <c r="F33" s="4">
        <v>0</v>
      </c>
    </row>
    <row r="34" spans="2:6">
      <c r="B34" s="3" t="s">
        <v>93</v>
      </c>
      <c r="C34" s="3">
        <v>1</v>
      </c>
      <c r="D34" s="3">
        <v>13.95</v>
      </c>
      <c r="E34" s="3">
        <v>11.95</v>
      </c>
      <c r="F34" s="4">
        <f t="shared" si="1"/>
        <v>0.14336917562724016</v>
      </c>
    </row>
    <row r="35" spans="2:6"/>
    <row r="36" spans="2:6"/>
    <row r="37" spans="2:6"/>
    <row r="38" spans="2:6"/>
    <row r="39" spans="2:6"/>
    <row r="40" spans="2:6"/>
    <row r="41" spans="2:6"/>
    <row r="42" spans="2:6"/>
    <row r="43" spans="2:6"/>
    <row r="44" spans="2:6"/>
    <row r="45" spans="2:6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224B-2CCF-4223-86B5-010B4D2D564F}">
  <dimension ref="B1:I45"/>
  <sheetViews>
    <sheetView tabSelected="1" workbookViewId="0">
      <pane ySplit="1" topLeftCell="A2" activePane="bottomLeft" state="frozen"/>
      <selection pane="bottomLeft"/>
    </sheetView>
  </sheetViews>
  <sheetFormatPr defaultColWidth="10.625" defaultRowHeight="15.75" customHeight="1"/>
  <cols>
    <col min="1" max="1" width="9" style="1" bestFit="1" customWidth="1"/>
    <col min="2" max="2" width="40.375" style="1" customWidth="1"/>
    <col min="3" max="5" width="20.625" style="1" customWidth="1"/>
    <col min="6" max="6" width="20.625" style="2" customWidth="1"/>
    <col min="7" max="10" width="9" style="1" bestFit="1" customWidth="1"/>
    <col min="11" max="11" width="43.875" style="1" bestFit="1" customWidth="1"/>
    <col min="12" max="15" width="14.75" style="1" customWidth="1"/>
    <col min="16" max="16384" width="10.625" style="1"/>
  </cols>
  <sheetData>
    <row r="1" spans="2:9">
      <c r="B1" s="7" t="s">
        <v>55</v>
      </c>
      <c r="C1" s="7" t="s">
        <v>56</v>
      </c>
      <c r="D1" s="7" t="s">
        <v>57</v>
      </c>
      <c r="E1" s="7" t="s">
        <v>58</v>
      </c>
      <c r="F1" s="8" t="s">
        <v>59</v>
      </c>
    </row>
    <row r="2" spans="2:9">
      <c r="B2" s="5" t="s">
        <v>60</v>
      </c>
      <c r="C2" s="3">
        <v>0</v>
      </c>
      <c r="D2" s="3">
        <v>6.5</v>
      </c>
      <c r="E2" s="3"/>
      <c r="F2" s="4">
        <v>0</v>
      </c>
      <c r="H2" s="1">
        <v>0</v>
      </c>
      <c r="I2" s="1" t="s">
        <v>61</v>
      </c>
    </row>
    <row r="3" spans="2:9">
      <c r="B3" s="5" t="s">
        <v>62</v>
      </c>
      <c r="C3" s="3">
        <v>0</v>
      </c>
      <c r="D3" s="3">
        <v>11.5</v>
      </c>
      <c r="E3" s="3"/>
      <c r="F3" s="4">
        <v>0</v>
      </c>
      <c r="H3" s="1">
        <v>1</v>
      </c>
      <c r="I3" s="1" t="s">
        <v>63</v>
      </c>
    </row>
    <row r="4" spans="2:9">
      <c r="B4" s="5" t="s">
        <v>64</v>
      </c>
      <c r="C4" s="3">
        <v>1</v>
      </c>
      <c r="D4" s="3">
        <v>72</v>
      </c>
      <c r="E4" s="3"/>
      <c r="F4" s="4">
        <v>0</v>
      </c>
    </row>
    <row r="5" spans="2:9">
      <c r="B5" s="5" t="s">
        <v>65</v>
      </c>
      <c r="C5" s="3">
        <v>1</v>
      </c>
      <c r="D5" s="3">
        <v>6</v>
      </c>
      <c r="E5" s="3"/>
      <c r="F5" s="4">
        <v>0</v>
      </c>
    </row>
    <row r="6" spans="2:9">
      <c r="B6" s="5" t="s">
        <v>66</v>
      </c>
      <c r="C6" s="3">
        <v>0</v>
      </c>
      <c r="D6" s="3"/>
      <c r="E6" s="3"/>
      <c r="F6" s="4">
        <v>0</v>
      </c>
    </row>
    <row r="7" spans="2:9">
      <c r="B7" s="5" t="s">
        <v>67</v>
      </c>
      <c r="C7" s="3">
        <v>0</v>
      </c>
      <c r="D7" s="3"/>
      <c r="E7" s="3"/>
      <c r="F7" s="4">
        <v>0</v>
      </c>
    </row>
    <row r="8" spans="2:9">
      <c r="B8" s="5" t="s">
        <v>68</v>
      </c>
      <c r="C8" s="3">
        <v>0</v>
      </c>
      <c r="D8" s="3"/>
      <c r="E8" s="3"/>
      <c r="F8" s="4">
        <v>0</v>
      </c>
    </row>
    <row r="9" spans="2:9">
      <c r="B9" s="5" t="s">
        <v>69</v>
      </c>
      <c r="C9" s="3">
        <v>1</v>
      </c>
      <c r="D9" s="3">
        <v>4</v>
      </c>
      <c r="E9" s="3"/>
      <c r="F9" s="4">
        <v>0</v>
      </c>
    </row>
    <row r="10" spans="2:9">
      <c r="B10" s="5" t="s">
        <v>70</v>
      </c>
      <c r="C10" s="3">
        <v>1</v>
      </c>
      <c r="D10" s="3">
        <v>31.5</v>
      </c>
      <c r="E10" s="3">
        <v>25.75</v>
      </c>
      <c r="F10" s="4">
        <f t="shared" ref="F10:F24" si="0">(D10-E10)/D10</f>
        <v>0.18253968253968253</v>
      </c>
    </row>
    <row r="11" spans="2:9">
      <c r="B11" s="5" t="s">
        <v>71</v>
      </c>
      <c r="C11" s="3">
        <v>1</v>
      </c>
      <c r="D11" s="3">
        <v>48.95</v>
      </c>
      <c r="E11" s="3"/>
      <c r="F11" s="4">
        <v>0</v>
      </c>
    </row>
    <row r="12" spans="2:9">
      <c r="B12" s="5" t="s">
        <v>72</v>
      </c>
      <c r="C12" s="3">
        <v>1</v>
      </c>
      <c r="D12" s="3">
        <v>25.95</v>
      </c>
      <c r="E12" s="3"/>
      <c r="F12" s="4">
        <v>0</v>
      </c>
    </row>
    <row r="13" spans="2:9">
      <c r="B13" s="5" t="s">
        <v>73</v>
      </c>
      <c r="C13" s="3">
        <v>0</v>
      </c>
      <c r="D13" s="3"/>
      <c r="E13" s="3"/>
      <c r="F13" s="4">
        <v>0</v>
      </c>
    </row>
    <row r="14" spans="2:9">
      <c r="B14" s="5" t="s">
        <v>74</v>
      </c>
      <c r="C14" s="3">
        <v>1</v>
      </c>
      <c r="D14" s="3">
        <v>2.95</v>
      </c>
      <c r="E14" s="3"/>
      <c r="F14" s="4">
        <v>0</v>
      </c>
    </row>
    <row r="15" spans="2:9">
      <c r="B15" s="5" t="s">
        <v>75</v>
      </c>
      <c r="C15" s="3">
        <v>0</v>
      </c>
      <c r="D15" s="3"/>
      <c r="E15" s="3"/>
      <c r="F15" s="4">
        <v>0</v>
      </c>
    </row>
    <row r="16" spans="2:9">
      <c r="B16" s="5" t="s">
        <v>76</v>
      </c>
      <c r="C16" s="3">
        <v>1</v>
      </c>
      <c r="D16" s="3">
        <v>15.95</v>
      </c>
      <c r="E16" s="3">
        <v>11.95</v>
      </c>
      <c r="F16" s="4">
        <f t="shared" si="0"/>
        <v>0.25078369905956116</v>
      </c>
    </row>
    <row r="17" spans="2:6">
      <c r="D17" s="3"/>
    </row>
    <row r="18" spans="2:6">
      <c r="B18" s="3" t="s">
        <v>77</v>
      </c>
      <c r="C18" s="3">
        <v>1</v>
      </c>
      <c r="D18" s="3">
        <v>6.5</v>
      </c>
      <c r="E18" s="3"/>
      <c r="F18" s="4">
        <v>0</v>
      </c>
    </row>
    <row r="19" spans="2:6">
      <c r="B19" s="3" t="s">
        <v>78</v>
      </c>
      <c r="C19" s="3">
        <v>0</v>
      </c>
      <c r="D19" s="3"/>
      <c r="E19" s="3"/>
      <c r="F19" s="4">
        <v>0</v>
      </c>
    </row>
    <row r="20" spans="2:6">
      <c r="B20" s="3" t="s">
        <v>79</v>
      </c>
      <c r="C20" s="3">
        <v>0</v>
      </c>
      <c r="D20" s="3"/>
      <c r="E20" s="3"/>
      <c r="F20" s="4">
        <v>0</v>
      </c>
    </row>
    <row r="21" spans="2:6">
      <c r="B21" s="3" t="s">
        <v>80</v>
      </c>
      <c r="C21" s="3">
        <v>1</v>
      </c>
      <c r="D21" s="3">
        <v>6.5</v>
      </c>
      <c r="E21" s="3"/>
      <c r="F21" s="4">
        <v>0</v>
      </c>
    </row>
    <row r="22" spans="2:6">
      <c r="B22" s="3" t="s">
        <v>81</v>
      </c>
      <c r="C22" s="3">
        <v>0</v>
      </c>
      <c r="D22" s="3"/>
      <c r="E22" s="3"/>
      <c r="F22" s="4">
        <v>0</v>
      </c>
    </row>
    <row r="23" spans="2:6">
      <c r="B23" s="3" t="s">
        <v>82</v>
      </c>
      <c r="C23" s="3">
        <v>1</v>
      </c>
      <c r="D23" s="3">
        <v>4</v>
      </c>
      <c r="E23" s="3"/>
      <c r="F23" s="4">
        <v>0</v>
      </c>
    </row>
    <row r="24" spans="2:6">
      <c r="B24" s="3" t="s">
        <v>83</v>
      </c>
      <c r="C24" s="3">
        <v>1</v>
      </c>
      <c r="D24" s="3">
        <v>6.25</v>
      </c>
      <c r="E24" s="3"/>
      <c r="F24" s="4">
        <v>0</v>
      </c>
    </row>
    <row r="25" spans="2:6">
      <c r="B25" s="3" t="s">
        <v>84</v>
      </c>
      <c r="C25" s="3">
        <v>0</v>
      </c>
      <c r="D25" s="3"/>
      <c r="E25" s="3"/>
      <c r="F25" s="4">
        <v>0</v>
      </c>
    </row>
    <row r="26" spans="2:6">
      <c r="B26" s="3" t="s">
        <v>85</v>
      </c>
      <c r="C26" s="3">
        <v>0</v>
      </c>
      <c r="D26" s="3"/>
      <c r="E26" s="3"/>
      <c r="F26" s="4">
        <v>0</v>
      </c>
    </row>
    <row r="27" spans="2:6">
      <c r="B27" s="3" t="s">
        <v>86</v>
      </c>
      <c r="C27" s="3">
        <v>1</v>
      </c>
      <c r="D27" s="3">
        <v>8.9499999999999993</v>
      </c>
      <c r="E27" s="3">
        <v>5.79</v>
      </c>
      <c r="F27" s="4">
        <f t="shared" ref="F27:F34" si="1">(D27-E27)/D27</f>
        <v>0.35307262569832398</v>
      </c>
    </row>
    <row r="28" spans="2:6">
      <c r="B28" s="3" t="s">
        <v>87</v>
      </c>
      <c r="C28" s="3">
        <v>1</v>
      </c>
      <c r="D28" s="3">
        <v>4.95</v>
      </c>
      <c r="E28" s="3"/>
      <c r="F28" s="4">
        <v>0</v>
      </c>
    </row>
    <row r="29" spans="2:6">
      <c r="B29" s="3" t="s">
        <v>88</v>
      </c>
      <c r="C29" s="3">
        <v>1</v>
      </c>
      <c r="D29" s="3">
        <v>17.95</v>
      </c>
      <c r="E29" s="3">
        <v>15.25</v>
      </c>
      <c r="F29" s="4">
        <f t="shared" si="1"/>
        <v>0.15041782729805012</v>
      </c>
    </row>
    <row r="30" spans="2:6">
      <c r="B30" s="3" t="s">
        <v>89</v>
      </c>
      <c r="C30" s="3">
        <v>1</v>
      </c>
      <c r="D30" s="3">
        <v>9.9499999999999993</v>
      </c>
      <c r="E30" s="3"/>
      <c r="F30" s="4">
        <v>0</v>
      </c>
    </row>
    <row r="31" spans="2:6">
      <c r="B31" s="6" t="s">
        <v>90</v>
      </c>
      <c r="C31" s="3">
        <v>1</v>
      </c>
      <c r="D31" s="3">
        <v>4</v>
      </c>
      <c r="E31" s="3"/>
      <c r="F31" s="4">
        <v>0</v>
      </c>
    </row>
    <row r="32" spans="2:6">
      <c r="B32" s="3" t="s">
        <v>91</v>
      </c>
      <c r="C32" s="3">
        <v>0</v>
      </c>
      <c r="D32" s="3">
        <v>5.95</v>
      </c>
      <c r="E32" s="3"/>
      <c r="F32" s="4">
        <v>0</v>
      </c>
    </row>
    <row r="33" spans="2:6">
      <c r="B33" s="3" t="s">
        <v>92</v>
      </c>
      <c r="C33" s="3">
        <v>1</v>
      </c>
      <c r="D33" s="3">
        <v>4.5</v>
      </c>
      <c r="E33" s="3"/>
      <c r="F33" s="4">
        <v>0</v>
      </c>
    </row>
    <row r="34" spans="2:6">
      <c r="B34" s="3" t="s">
        <v>93</v>
      </c>
      <c r="C34" s="3">
        <v>1</v>
      </c>
      <c r="D34" s="3">
        <v>13.95</v>
      </c>
      <c r="E34" s="3">
        <v>11.95</v>
      </c>
      <c r="F34" s="4">
        <f t="shared" si="1"/>
        <v>0.14336917562724016</v>
      </c>
    </row>
    <row r="35" spans="2:6"/>
    <row r="36" spans="2:6"/>
    <row r="37" spans="2:6"/>
    <row r="38" spans="2:6"/>
    <row r="39" spans="2:6"/>
    <row r="40" spans="2:6"/>
    <row r="41" spans="2:6"/>
    <row r="42" spans="2:6"/>
    <row r="43" spans="2:6"/>
    <row r="44" spans="2:6"/>
    <row r="45" spans="2: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Husn  Shujaat</dc:creator>
  <cp:keywords/>
  <dc:description/>
  <cp:lastModifiedBy/>
  <cp:revision/>
  <dcterms:created xsi:type="dcterms:W3CDTF">2026-04-22T12:46:11Z</dcterms:created>
  <dcterms:modified xsi:type="dcterms:W3CDTF">2026-04-26T21:02:29Z</dcterms:modified>
  <cp:category/>
  <cp:contentStatus/>
</cp:coreProperties>
</file>